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Administrator\Desktop\클로드\008_매출통합대시보드\260602\"/>
    </mc:Choice>
  </mc:AlternateContent>
  <xr:revisionPtr revIDLastSave="0" documentId="13_ncr:1_{6EC37A52-B4A9-4D42-B0FF-A7480C4C575D}" xr6:coauthVersionLast="46" xr6:coauthVersionMax="46" xr10:uidLastSave="{00000000-0000-0000-0000-000000000000}"/>
  <bookViews>
    <workbookView xWindow="35730" yWindow="4755" windowWidth="14940" windowHeight="15090" xr2:uid="{00000000-000D-0000-FFFF-FFFF00000000}"/>
  </bookViews>
  <sheets>
    <sheet name="회의록_작성" sheetId="1" r:id="rId1"/>
    <sheet name="매출현황" sheetId="2" r:id="rId2"/>
    <sheet name="릴레잇현황" sheetId="3" r:id="rId3"/>
    <sheet name="KPI_통합" sheetId="4" r:id="rId4"/>
    <sheet name="영업회의발표" sheetId="5" r:id="rId5"/>
    <sheet name="액션아이템관리" sheetId="6" r:id="rId6"/>
    <sheet name="작성기준" sheetId="7" r:id="rId7"/>
  </sheets>
  <calcPr calcId="191029"/>
</workbook>
</file>

<file path=xl/calcChain.xml><?xml version="1.0" encoding="utf-8"?>
<calcChain xmlns="http://schemas.openxmlformats.org/spreadsheetml/2006/main">
  <c r="I23" i="6" l="1"/>
  <c r="A23" i="6"/>
  <c r="I22" i="6"/>
  <c r="A22" i="6"/>
  <c r="I21" i="6"/>
  <c r="A21" i="6"/>
  <c r="I20" i="6"/>
  <c r="A20" i="6"/>
  <c r="I19" i="6"/>
  <c r="A19" i="6"/>
  <c r="I18" i="6"/>
  <c r="A18" i="6"/>
  <c r="I17" i="6"/>
  <c r="A17" i="6"/>
  <c r="I16" i="6"/>
  <c r="A16" i="6"/>
  <c r="I15" i="6"/>
  <c r="A15" i="6"/>
  <c r="I14" i="6"/>
  <c r="A14" i="6"/>
  <c r="I13" i="6"/>
  <c r="A13" i="6"/>
  <c r="I12" i="6"/>
  <c r="A12" i="6"/>
  <c r="I11" i="6"/>
  <c r="A11" i="6"/>
  <c r="I10" i="6"/>
  <c r="A10" i="6"/>
  <c r="I9" i="6"/>
  <c r="A9" i="6"/>
  <c r="I8" i="6"/>
  <c r="A8" i="6"/>
  <c r="I7" i="6"/>
  <c r="A7" i="6"/>
  <c r="I6" i="6"/>
  <c r="A6" i="6"/>
  <c r="I5" i="6"/>
  <c r="A5" i="6"/>
  <c r="I4" i="6"/>
  <c r="A4" i="6"/>
  <c r="K5" i="5"/>
  <c r="G5" i="5"/>
  <c r="C5" i="5"/>
  <c r="F31" i="4"/>
  <c r="G31" i="4" s="1"/>
  <c r="F30" i="4"/>
  <c r="G30" i="4" s="1"/>
  <c r="F29" i="4"/>
  <c r="G29" i="4" s="1"/>
  <c r="F28" i="4"/>
  <c r="G28" i="4" s="1"/>
  <c r="F27" i="4"/>
  <c r="G27" i="4" s="1"/>
  <c r="F26" i="4"/>
  <c r="G26" i="4" s="1"/>
  <c r="F25" i="4"/>
  <c r="G25" i="4" s="1"/>
  <c r="F24" i="4"/>
  <c r="G24" i="4" s="1"/>
  <c r="F22" i="4"/>
  <c r="G22" i="4" s="1"/>
  <c r="F21" i="4"/>
  <c r="G21" i="4" s="1"/>
  <c r="F20" i="4"/>
  <c r="G20" i="4" s="1"/>
  <c r="F15" i="4"/>
  <c r="G15" i="4" s="1"/>
  <c r="F14" i="4"/>
  <c r="G14" i="4" s="1"/>
  <c r="F13" i="4"/>
  <c r="G13" i="4" s="1"/>
  <c r="F12" i="4"/>
  <c r="G12" i="4" s="1"/>
  <c r="F11" i="4"/>
  <c r="G11" i="4" s="1"/>
  <c r="F10" i="4"/>
  <c r="G10" i="4" s="1"/>
  <c r="F9" i="4"/>
  <c r="G9" i="4" s="1"/>
  <c r="F8" i="4"/>
  <c r="G8" i="4" s="1"/>
  <c r="F6" i="4"/>
  <c r="H9" i="3"/>
  <c r="F9" i="3"/>
  <c r="C15" i="1" s="1"/>
  <c r="E9" i="3"/>
  <c r="D9" i="3"/>
  <c r="C9" i="3"/>
  <c r="B9" i="3"/>
  <c r="G9" i="3" s="1"/>
  <c r="H8" i="3"/>
  <c r="G8" i="3"/>
  <c r="H7" i="3"/>
  <c r="G7" i="3"/>
  <c r="H6" i="3"/>
  <c r="G6" i="3"/>
  <c r="H5" i="3"/>
  <c r="G5" i="3"/>
  <c r="G9" i="2"/>
  <c r="F9" i="2"/>
  <c r="E9" i="2"/>
  <c r="D9" i="2"/>
  <c r="H9" i="2" s="1"/>
  <c r="C9" i="2"/>
  <c r="B9" i="2"/>
  <c r="J9" i="2" s="1"/>
  <c r="J8" i="2"/>
  <c r="H8" i="2"/>
  <c r="I8" i="2" s="1"/>
  <c r="J7" i="2"/>
  <c r="H7" i="2"/>
  <c r="I7" i="2" s="1"/>
  <c r="J6" i="2"/>
  <c r="H6" i="2"/>
  <c r="I6" i="2" s="1"/>
  <c r="J5" i="2"/>
  <c r="H5" i="2"/>
  <c r="I5" i="2" s="1"/>
  <c r="C18" i="1"/>
  <c r="C16" i="1"/>
  <c r="C17" i="1" l="1"/>
  <c r="C14" i="1"/>
  <c r="I9" i="2"/>
  <c r="G6" i="4"/>
</calcChain>
</file>

<file path=xl/sharedStrings.xml><?xml version="1.0" encoding="utf-8"?>
<sst xmlns="http://schemas.openxmlformats.org/spreadsheetml/2006/main" count="242" uniqueCount="183">
  <si>
    <t>서비스운영1팀 영업회의 — 통합 회의록</t>
  </si>
  <si>
    <t>회의 전 사전작성 → 회의 중 이슈·의사결정 확인 → 회의 후 액션 추적</t>
  </si>
  <si>
    <t>🟡 노란칸 = 담당자 입력  ·  🔵 파란칸 = 자동 계산(수정 금지)  ·  하단 시트 탭: 매출현황 / 릴레잇현황 / KPI_통합 / 영업회의발표 / 액션아이템관리 / 작성기준</t>
  </si>
  <si>
    <t>회의일자</t>
  </si>
  <si>
    <t>회차</t>
  </si>
  <si>
    <t>작성자</t>
  </si>
  <si>
    <t>다음회의</t>
  </si>
  <si>
    <t>참석자</t>
  </si>
  <si>
    <t>① 이번 주 핵심 요약  (회의 전 작성)</t>
  </si>
  <si>
    <t>② 통합 자동 요약  (각 시트에서 자동 연결)</t>
  </si>
  <si>
    <t>항목</t>
  </si>
  <si>
    <t>값(자동)</t>
  </si>
  <si>
    <t>기준 / 비고</t>
  </si>
  <si>
    <t>평균 PT 승률 (2분기)</t>
  </si>
  <si>
    <t>목표 70%</t>
  </si>
  <si>
    <t>15일+ 미활동 (회의안건 대상)</t>
  </si>
  <si>
    <t>15일+ 자동 회의안건</t>
  </si>
  <si>
    <t>미응답 건 합계</t>
  </si>
  <si>
    <t>당일 확인 필요</t>
  </si>
  <si>
    <t>매출 KPI 평균 달성률</t>
  </si>
  <si>
    <t>A. 매출 KPI 평균</t>
  </si>
  <si>
    <t>미완료 액션아이템</t>
  </si>
  <si>
    <t>지난 회의 이월 포함</t>
  </si>
  <si>
    <t>③ 회의 중 의사결정  (회의 중 작성)</t>
  </si>
  <si>
    <t>안건</t>
  </si>
  <si>
    <t>결정 사항</t>
  </si>
  <si>
    <t>담당</t>
  </si>
  <si>
    <t>기한</t>
  </si>
  <si>
    <t>④ 차주 액션 요약  →  「액션아이템관리」 시트로 이관</t>
  </si>
  <si>
    <t>회의에서 정한 액션은 액션아이템관리 시트에 담당자·기한·완료여부로 등록하세요. 다음 회의는 지난 액션 완료여부부터 확인합니다.</t>
  </si>
  <si>
    <t>매출현황 — PT 실적 · 계약가능 · 리스크 · 차주 액션</t>
  </si>
  <si>
    <t>PT 승률·증감률은 자동 계산 / 목표 PT 승률 70%</t>
  </si>
  <si>
    <t>PT 실적 — 1분기 대비 2분기  (측정: 황윤선·이필선·한준엽·조민준)</t>
  </si>
  <si>
    <t>담당자</t>
  </si>
  <si>
    <t>1Q PT건수</t>
  </si>
  <si>
    <t>2Q PT건수</t>
  </si>
  <si>
    <t>승</t>
  </si>
  <si>
    <t>패</t>
  </si>
  <si>
    <t>무</t>
  </si>
  <si>
    <t>지원</t>
  </si>
  <si>
    <t>PT승률%(자동)</t>
  </si>
  <si>
    <t>목표(70%)대비(자동)</t>
  </si>
  <si>
    <t>PT건수 증감률%(자동)</t>
  </si>
  <si>
    <t>황윤선</t>
  </si>
  <si>
    <t>이필선</t>
  </si>
  <si>
    <t>한준엽</t>
  </si>
  <si>
    <t>조민준 (경남지사)</t>
  </si>
  <si>
    <t>합계 / 평균</t>
  </si>
  <si>
    <t>PT 승률 = 승리 ÷ 전체 PT(승+패+무+지원) × 100   ·   증감률 = 2분기 ÷ 1분기 × 100   ·   목표 PT 승률 = 70%</t>
  </si>
  <si>
    <t>주요 계약 가능 건  (입력)</t>
  </si>
  <si>
    <t>현장명</t>
  </si>
  <si>
    <t>예상 계약금액</t>
  </si>
  <si>
    <t>계약확률%</t>
  </si>
  <si>
    <t>목표일</t>
  </si>
  <si>
    <t>비고 / 후속 액션</t>
  </si>
  <si>
    <t>매출 리스크 건  (입력)</t>
  </si>
  <si>
    <t>리스크 내용</t>
  </si>
  <si>
    <t>영향 금액</t>
  </si>
  <si>
    <t>대응 방안</t>
  </si>
  <si>
    <t>상태</t>
  </si>
  <si>
    <t>차주 매출 액션  (입력)</t>
  </si>
  <si>
    <t>액션</t>
  </si>
  <si>
    <t>기대 효과</t>
  </si>
  <si>
    <t>확인 필요사항  (입력)</t>
  </si>
  <si>
    <t>릴레잇현황 — 누락 · 정체 · 미응답 관리</t>
  </si>
  <si>
    <t>단순 기록이 아닌 영업흐름 관리 지표 / 관리상태 자동 분류</t>
  </si>
  <si>
    <t>담당자별 릴레잇 현황  (입력 → 관리상태 자동)</t>
  </si>
  <si>
    <t>전체진행</t>
  </si>
  <si>
    <t>미배정</t>
  </si>
  <si>
    <t>미응답</t>
  </si>
  <si>
    <t>7일+미진행</t>
  </si>
  <si>
    <t>15일+미활동</t>
  </si>
  <si>
    <t>정체율%(자동)</t>
  </si>
  <si>
    <t>관리상태(자동)</t>
  </si>
  <si>
    <t>합계</t>
  </si>
  <si>
    <t>관리 기준 — 미응답: 당일 확인  ·  7일+ 미진행: 담당자 확인 요청  ·  15일+ 미활동: 회의 안건 자동 분류  ·  계약 가능성 높은 건: 별도 표시</t>
  </si>
  <si>
    <t>계약 가능성 높은 건  (입력 → 별도 표시)</t>
  </si>
  <si>
    <t>단계</t>
  </si>
  <si>
    <t>계약가능성</t>
  </si>
  <si>
    <t>다음 액션</t>
  </si>
  <si>
    <t>정체 사유 / 후속 액션  (입력)</t>
  </si>
  <si>
    <t>정체 사유</t>
  </si>
  <si>
    <t>후속 액션</t>
  </si>
  <si>
    <t>서비스운영1팀 지원 필요사항  (입력)</t>
  </si>
  <si>
    <t>KPI_통합 — A. 매출 KPI / B. 내부 KPI</t>
  </si>
  <si>
    <t>결과지표와 선행지표 분리 · 실적 = 분자 ÷ 분모 × 100 (분모 없으면 분자=건수)</t>
  </si>
  <si>
    <t>A. 매출을 위한 KPI  (목표: PT 승률 70% 달성 · 매출 흐름 관리)</t>
  </si>
  <si>
    <t>KPI 지표</t>
  </si>
  <si>
    <t>구분</t>
  </si>
  <si>
    <t>목표</t>
  </si>
  <si>
    <t>분자(입력)</t>
  </si>
  <si>
    <t>분모(입력)</t>
  </si>
  <si>
    <t>실적(자동)</t>
  </si>
  <si>
    <t>목표대비(자동)</t>
  </si>
  <si>
    <t>비고(입력)</t>
  </si>
  <si>
    <t>[결과지표]</t>
  </si>
  <si>
    <t>PT 승률</t>
  </si>
  <si>
    <t>결과지표</t>
  </si>
  <si>
    <t>[선행지표]</t>
  </si>
  <si>
    <t>PT 사전분석 완료율</t>
  </si>
  <si>
    <t>선행지표</t>
  </si>
  <si>
    <t>PT 맞춤자료 반영률</t>
  </si>
  <si>
    <t>PT 자료 기한 내 제공률</t>
  </si>
  <si>
    <t>예상 질문/Q&amp;A 작성률</t>
  </si>
  <si>
    <t>PT 결과 피드백 회수율</t>
  </si>
  <si>
    <t>패배 사유 분석 완료율</t>
  </si>
  <si>
    <t>계약 가능 건 후속관리율</t>
  </si>
  <si>
    <t>릴레잇 갱신률</t>
  </si>
  <si>
    <t>B. 서비스운영1팀 내부 KPI  (인재 양성 · 서비스 고도화 · 업무 표준화)</t>
  </si>
  <si>
    <t>단독 처리 가능 업무 수</t>
  </si>
  <si>
    <t>-</t>
  </si>
  <si>
    <t>동일 오류 재발률</t>
  </si>
  <si>
    <t>재작업 발생률</t>
  </si>
  <si>
    <t>신규직원 30일 온보딩 완료율</t>
  </si>
  <si>
    <t>업무 매뉴얼 교육 이수율</t>
  </si>
  <si>
    <t>주간 피드백 진행률</t>
  </si>
  <si>
    <t>업무 막힘 이슈 기록률</t>
  </si>
  <si>
    <t>주요 업무 프로세스 정리율</t>
  </si>
  <si>
    <t>업무별 체크리스트 구축률</t>
  </si>
  <si>
    <t>미처리 요청 추적률</t>
  </si>
  <si>
    <t>업무 처리 데이터 입력률</t>
  </si>
  <si>
    <t>영업회의 발표 — 릴레잇 파이프라인 3단계 보드</t>
  </si>
  <si>
    <t>릴레잇 흐름 기준: 영업·시공 → 계약·시공 → 수주 성공   |   각 단계 현장·담당·금액·다음 액션을 사전 입력 → 회의에서 이슈·결정만 확인</t>
  </si>
  <si>
    <t>① 영업·시공 단계</t>
  </si>
  <si>
    <t>② 계약·시공 단계</t>
  </si>
  <si>
    <t>③ 수주 성공</t>
  </si>
  <si>
    <t>진행 건수(자동)</t>
  </si>
  <si>
    <t>금액 / 다음 액션</t>
  </si>
  <si>
    <t>액션아이템 관리</t>
  </si>
  <si>
    <t>다음 회의는 지난 회의 액션 완료여부부터 확인 · 기한 초과 시 자동 「지연」 표시</t>
  </si>
  <si>
    <t>No</t>
  </si>
  <si>
    <t>액션 내용</t>
  </si>
  <si>
    <t>완료일</t>
  </si>
  <si>
    <t>진행상태(자동)</t>
  </si>
  <si>
    <t>비고</t>
  </si>
  <si>
    <t>작성 기준 · 운영 방식 · 산식 정의</t>
  </si>
  <si>
    <t>회의록은 매출·릴레잇·KPI·영업회의 발표가 연결되는 운영 도구</t>
  </si>
  <si>
    <t>운영 방식 (4단계 흐름)</t>
  </si>
  <si>
    <t>회의 전</t>
  </si>
  <si>
    <t>담당자가 본인 영역(매출현황·릴레잇현황·KPI·발표카드)을 사전 작성</t>
  </si>
  <si>
    <t>회의 중</t>
  </si>
  <si>
    <t>작성된 내용을 기준으로 핵심 이슈와 의사결정만 확인 (회의록_작성 ③)</t>
  </si>
  <si>
    <t>회의 후</t>
  </si>
  <si>
    <t>액션아이템관리에 담당자·기한·완료여부 등록 후 추적</t>
  </si>
  <si>
    <t>다음 회의</t>
  </si>
  <si>
    <t>지난 회의 액션 완료여부부터 확인 → 미완료는 이월</t>
  </si>
  <si>
    <t>입력 / 자동 구분 (범례)</t>
  </si>
  <si>
    <t>🟡 담당자 입력</t>
  </si>
  <si>
    <t>노란 칸 = 담당자가 직접 입력하는 칸</t>
  </si>
  <si>
    <t>🔵 자동 계산</t>
  </si>
  <si>
    <t>파란 칸 = 수식 자동 계산 (수정 금지)</t>
  </si>
  <si>
    <t>산식 정의</t>
  </si>
  <si>
    <t>승리 건수 ÷ 전체 PT(승+패+무+지원) × 100</t>
  </si>
  <si>
    <t>전분기 대비 증감률</t>
  </si>
  <si>
    <t>2분기 실적 ÷ 1분기 실적 × 100</t>
  </si>
  <si>
    <t>목표 PT 승률</t>
  </si>
  <si>
    <t>70%</t>
  </si>
  <si>
    <t>KPI 실적</t>
  </si>
  <si>
    <t>분자 ÷ 분모 × 100  (분모 없으면 분자=건수 그대로)</t>
  </si>
  <si>
    <t>릴레잇 관리 기준</t>
  </si>
  <si>
    <t>미응답 건</t>
  </si>
  <si>
    <t>당일 확인</t>
  </si>
  <si>
    <t>7일 이상 미진행</t>
  </si>
  <si>
    <t>담당자 확인 요청</t>
  </si>
  <si>
    <t>15일 이상 미활동</t>
  </si>
  <si>
    <t>회의 안건으로 자동 분류 (관리상태 ⚠ 표시)</t>
  </si>
  <si>
    <t>계약 가능성 높은 건</t>
  </si>
  <si>
    <t>별도 표시 후 후속 관리</t>
  </si>
  <si>
    <t>KPI 구분 원칙</t>
  </si>
  <si>
    <t>결과지표 / 선행지표</t>
  </si>
  <si>
    <t>분리 작성. 결과가 나오기 전에 관리 가능한 선행지표 중심으로 운영</t>
  </si>
  <si>
    <t>A. 매출 KPI</t>
  </si>
  <si>
    <t>PT 승률(결과) + 사전분석·맞춤자료·기한제공·Q&amp;A·피드백·패배분석·후속관리·릴레잇갱신(선행)</t>
  </si>
  <si>
    <t>B. 내부 KPI</t>
  </si>
  <si>
    <t>인재 양성·서비스 고도화·업무 표준화 — 결과(재발률·재작업·단독처리) / 선행(온보딩·교육·피드백·기록·정리·체크리스트·추적·입력)</t>
  </si>
  <si>
    <t>작성 대상 / 측정 대상</t>
  </si>
  <si>
    <t>작성 대상자</t>
  </si>
  <si>
    <t>황윤선, 이필선, 한준엽</t>
  </si>
  <si>
    <t>1Q vs 2Q 측정 대상</t>
  </si>
  <si>
    <t>황윤선, 이필선, 한준엽, 경남지사 조민준</t>
  </si>
  <si>
    <t>시트 흐름</t>
  </si>
  <si>
    <t>연결 구조</t>
  </si>
  <si>
    <t>매출현황·릴레잇현황·KPI_통합 (사전작성) → 영업회의발표 (자동 요약) → 회의록_작성 ②③ (회의 중) → 액션아이템관리 (회의 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</si>
</sst>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9"/>
      <color rgb="FF595959"/>
      <name val="맑은 고딕"/>
      <family val="3"/>
      <charset val="129"/>
    </font>
    <font>
      <sz val="9"/>
      <color rgb="FF833C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rgb="FF1F3864"/>
      <name val="맑은 고딕"/>
      <family val="3"/>
      <charset val="129"/>
    </font>
    <font>
      <sz val="10"/>
      <color rgb="FF1F3864"/>
      <name val="맑은 고딕"/>
      <family val="3"/>
      <charset val="129"/>
    </font>
    <font>
      <b/>
      <sz val="9"/>
      <color rgb="FF7030A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2"/>
      <color rgb="FF1F3864"/>
      <name val="맑은 고딕"/>
      <family val="3"/>
      <charset val="129"/>
    </font>
    <font>
      <sz val="9"/>
      <color rgb="FF1F3864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4823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top" wrapText="1"/>
    </xf>
    <xf numFmtId="0" fontId="7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left" vertical="center" wrapText="1"/>
    </xf>
    <xf numFmtId="0" fontId="9" fillId="9" borderId="0" xfId="0" applyFont="1" applyFill="1" applyAlignment="1">
      <alignment horizontal="left" vertical="center" wrapText="1"/>
    </xf>
    <xf numFmtId="0" fontId="11" fillId="10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9"/>
  <sheetViews>
    <sheetView showGridLines="0" tabSelected="1" workbookViewId="0"/>
  </sheetViews>
  <sheetFormatPr defaultRowHeight="16.5" x14ac:dyDescent="0.3"/>
  <cols>
    <col min="1" max="1" width="3" customWidth="1"/>
    <col min="2" max="2" width="20" customWidth="1"/>
    <col min="3" max="9" width="16" customWidth="1"/>
    <col min="10" max="10" width="4" customWidth="1"/>
  </cols>
  <sheetData>
    <row r="1" spans="2:9" ht="27.95" customHeight="1" x14ac:dyDescent="0.3">
      <c r="B1" s="7" t="s">
        <v>0</v>
      </c>
      <c r="C1" s="5"/>
      <c r="D1" s="5"/>
      <c r="E1" s="5"/>
      <c r="F1" s="5"/>
      <c r="G1" s="5"/>
      <c r="H1" s="5"/>
      <c r="I1" s="5"/>
    </row>
    <row r="2" spans="2:9" ht="15.95" customHeight="1" x14ac:dyDescent="0.3">
      <c r="B2" s="6" t="s">
        <v>1</v>
      </c>
      <c r="C2" s="5"/>
      <c r="D2" s="5"/>
      <c r="E2" s="5"/>
      <c r="F2" s="5"/>
      <c r="G2" s="5"/>
      <c r="H2" s="5"/>
      <c r="I2" s="5"/>
    </row>
    <row r="3" spans="2:9" x14ac:dyDescent="0.3">
      <c r="B3" s="8" t="s">
        <v>2</v>
      </c>
      <c r="C3" s="5"/>
      <c r="D3" s="5"/>
      <c r="E3" s="5"/>
      <c r="F3" s="5"/>
      <c r="G3" s="5"/>
      <c r="H3" s="5"/>
      <c r="I3" s="5"/>
    </row>
    <row r="5" spans="2:9" x14ac:dyDescent="0.3">
      <c r="B5" s="1" t="s">
        <v>3</v>
      </c>
      <c r="C5" s="9"/>
      <c r="D5" s="1" t="s">
        <v>4</v>
      </c>
      <c r="E5" s="9"/>
      <c r="F5" s="1" t="s">
        <v>5</v>
      </c>
      <c r="G5" s="9"/>
      <c r="H5" s="1" t="s">
        <v>6</v>
      </c>
      <c r="I5" s="9"/>
    </row>
    <row r="6" spans="2:9" x14ac:dyDescent="0.3">
      <c r="B6" s="1" t="s">
        <v>7</v>
      </c>
      <c r="C6" s="10"/>
      <c r="D6" s="5"/>
      <c r="E6" s="5"/>
      <c r="F6" s="5"/>
      <c r="G6" s="5"/>
      <c r="H6" s="5"/>
      <c r="I6" s="5"/>
    </row>
    <row r="8" spans="2:9" ht="21.95" customHeight="1" x14ac:dyDescent="0.3">
      <c r="B8" s="11" t="s">
        <v>8</v>
      </c>
      <c r="C8" s="5"/>
      <c r="D8" s="5"/>
      <c r="E8" s="5"/>
      <c r="F8" s="5"/>
      <c r="G8" s="5"/>
      <c r="H8" s="5"/>
      <c r="I8" s="5"/>
    </row>
    <row r="9" spans="2:9" x14ac:dyDescent="0.3">
      <c r="B9" s="12"/>
      <c r="C9" s="5"/>
      <c r="D9" s="5"/>
      <c r="E9" s="5"/>
      <c r="F9" s="5"/>
      <c r="G9" s="5"/>
      <c r="H9" s="5"/>
      <c r="I9" s="5"/>
    </row>
    <row r="10" spans="2:9" x14ac:dyDescent="0.3">
      <c r="B10" s="5"/>
      <c r="C10" s="5"/>
      <c r="D10" s="5"/>
      <c r="E10" s="5"/>
      <c r="F10" s="5"/>
      <c r="G10" s="5"/>
      <c r="H10" s="5"/>
      <c r="I10" s="5"/>
    </row>
    <row r="12" spans="2:9" ht="21.95" customHeight="1" x14ac:dyDescent="0.3">
      <c r="B12" s="11" t="s">
        <v>9</v>
      </c>
      <c r="C12" s="5"/>
      <c r="D12" s="5"/>
      <c r="E12" s="5"/>
      <c r="F12" s="5"/>
      <c r="G12" s="5"/>
      <c r="H12" s="5"/>
      <c r="I12" s="5"/>
    </row>
    <row r="13" spans="2:9" ht="26.1" customHeight="1" x14ac:dyDescent="0.3">
      <c r="B13" s="13" t="s">
        <v>10</v>
      </c>
      <c r="C13" s="13" t="s">
        <v>11</v>
      </c>
      <c r="D13" s="13" t="s">
        <v>12</v>
      </c>
    </row>
    <row r="14" spans="2:9" x14ac:dyDescent="0.3">
      <c r="B14" s="2" t="s">
        <v>13</v>
      </c>
      <c r="C14" s="14" t="str">
        <f>IFERROR(매출현황!H9,"")</f>
        <v/>
      </c>
      <c r="D14" s="2" t="s">
        <v>14</v>
      </c>
    </row>
    <row r="15" spans="2:9" ht="27" x14ac:dyDescent="0.3">
      <c r="B15" s="2" t="s">
        <v>15</v>
      </c>
      <c r="C15" s="14">
        <f>IFERROR(릴레잇현황!F9,"")</f>
        <v>0</v>
      </c>
      <c r="D15" s="2" t="s">
        <v>16</v>
      </c>
    </row>
    <row r="16" spans="2:9" x14ac:dyDescent="0.3">
      <c r="B16" s="2" t="s">
        <v>17</v>
      </c>
      <c r="C16" s="14">
        <f>IFERROR(릴레잇현황!D9,"")</f>
        <v>0</v>
      </c>
      <c r="D16" s="2" t="s">
        <v>18</v>
      </c>
    </row>
    <row r="17" spans="2:9" x14ac:dyDescent="0.3">
      <c r="B17" s="2" t="s">
        <v>19</v>
      </c>
      <c r="C17" s="14">
        <f>IFERROR(AVERAGE(KPI_통합!F6,KPI_통합!F8:F15),"")</f>
        <v>0</v>
      </c>
      <c r="D17" s="2" t="s">
        <v>20</v>
      </c>
    </row>
    <row r="18" spans="2:9" x14ac:dyDescent="0.3">
      <c r="B18" s="2" t="s">
        <v>21</v>
      </c>
      <c r="C18" s="14">
        <f>COUNTIFS(액션아이템관리!G4:G23,"&lt;&gt;완료",액션아이템관리!D4:D23,"&lt;&gt;")</f>
        <v>0</v>
      </c>
      <c r="D18" s="2" t="s">
        <v>22</v>
      </c>
    </row>
    <row r="20" spans="2:9" ht="21.95" customHeight="1" x14ac:dyDescent="0.3">
      <c r="B20" s="11" t="s">
        <v>23</v>
      </c>
      <c r="C20" s="5"/>
      <c r="D20" s="5"/>
      <c r="E20" s="5"/>
      <c r="F20" s="5"/>
      <c r="G20" s="5"/>
      <c r="H20" s="5"/>
      <c r="I20" s="5"/>
    </row>
    <row r="21" spans="2:9" ht="26.1" customHeight="1" x14ac:dyDescent="0.3">
      <c r="B21" s="13" t="s">
        <v>24</v>
      </c>
      <c r="C21" s="15" t="s">
        <v>25</v>
      </c>
      <c r="D21" s="5"/>
      <c r="E21" s="5"/>
      <c r="F21" s="5"/>
      <c r="G21" s="5"/>
      <c r="H21" s="13" t="s">
        <v>26</v>
      </c>
      <c r="I21" t="s">
        <v>27</v>
      </c>
    </row>
    <row r="22" spans="2:9" x14ac:dyDescent="0.3">
      <c r="B22" s="9"/>
      <c r="C22" s="10"/>
      <c r="D22" s="5"/>
      <c r="E22" s="5"/>
      <c r="F22" s="5"/>
      <c r="G22" s="5"/>
      <c r="H22" s="9"/>
      <c r="I22" s="9"/>
    </row>
    <row r="23" spans="2:9" x14ac:dyDescent="0.3">
      <c r="B23" s="9"/>
      <c r="C23" s="10"/>
      <c r="D23" s="5"/>
      <c r="E23" s="5"/>
      <c r="F23" s="5"/>
      <c r="G23" s="5"/>
      <c r="H23" s="9"/>
      <c r="I23" s="9"/>
    </row>
    <row r="24" spans="2:9" x14ac:dyDescent="0.3">
      <c r="B24" s="9"/>
      <c r="C24" s="10"/>
      <c r="D24" s="5"/>
      <c r="E24" s="5"/>
      <c r="F24" s="5"/>
      <c r="G24" s="5"/>
      <c r="H24" s="9"/>
      <c r="I24" s="9"/>
    </row>
    <row r="25" spans="2:9" x14ac:dyDescent="0.3">
      <c r="B25" s="9"/>
      <c r="C25" s="10"/>
      <c r="D25" s="5"/>
      <c r="E25" s="5"/>
      <c r="F25" s="5"/>
      <c r="G25" s="5"/>
      <c r="H25" s="9"/>
      <c r="I25" s="9"/>
    </row>
    <row r="26" spans="2:9" x14ac:dyDescent="0.3">
      <c r="B26" s="9"/>
      <c r="C26" s="10"/>
      <c r="D26" s="5"/>
      <c r="E26" s="5"/>
      <c r="F26" s="5"/>
      <c r="G26" s="5"/>
      <c r="H26" s="9"/>
      <c r="I26" s="9"/>
    </row>
    <row r="28" spans="2:9" ht="21.95" customHeight="1" x14ac:dyDescent="0.3">
      <c r="B28" s="11" t="s">
        <v>28</v>
      </c>
      <c r="C28" s="5"/>
      <c r="D28" s="5"/>
      <c r="E28" s="5"/>
      <c r="F28" s="5"/>
      <c r="G28" s="5"/>
      <c r="H28" s="5"/>
      <c r="I28" s="5"/>
    </row>
    <row r="29" spans="2:9" x14ac:dyDescent="0.3">
      <c r="B29" s="8" t="s">
        <v>29</v>
      </c>
      <c r="C29" s="5"/>
      <c r="D29" s="5"/>
      <c r="E29" s="5"/>
      <c r="F29" s="5"/>
      <c r="G29" s="5"/>
      <c r="H29" s="5"/>
      <c r="I29" s="5"/>
    </row>
  </sheetData>
  <mergeCells count="16">
    <mergeCell ref="B1:I1"/>
    <mergeCell ref="B8:I8"/>
    <mergeCell ref="C26:G26"/>
    <mergeCell ref="B2:I2"/>
    <mergeCell ref="B20:I20"/>
    <mergeCell ref="C25:G25"/>
    <mergeCell ref="B28:I28"/>
    <mergeCell ref="B3:I3"/>
    <mergeCell ref="C6:I6"/>
    <mergeCell ref="C23:G23"/>
    <mergeCell ref="C22:G22"/>
    <mergeCell ref="B12:I12"/>
    <mergeCell ref="B9:I10"/>
    <mergeCell ref="C21:G21"/>
    <mergeCell ref="B29:I29"/>
    <mergeCell ref="C24:G24"/>
  </mergeCells>
  <phoneticPr fontId="1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showGridLines="0" workbookViewId="0"/>
  </sheetViews>
  <sheetFormatPr defaultRowHeight="16.5" x14ac:dyDescent="0.3"/>
  <cols>
    <col min="1" max="1" width="16" customWidth="1"/>
    <col min="2" max="3" width="11" customWidth="1"/>
    <col min="4" max="7" width="7" customWidth="1"/>
    <col min="8" max="8" width="13" customWidth="1"/>
    <col min="9" max="10" width="15" customWidth="1"/>
  </cols>
  <sheetData>
    <row r="1" spans="1:10" ht="27.95" customHeight="1" x14ac:dyDescent="0.3">
      <c r="A1" s="7" t="s">
        <v>30</v>
      </c>
      <c r="B1" s="5"/>
      <c r="C1" s="5"/>
      <c r="D1" s="5"/>
      <c r="E1" s="5"/>
      <c r="F1" s="5"/>
      <c r="G1" s="5"/>
      <c r="H1" s="5"/>
      <c r="I1" s="5"/>
      <c r="J1" s="5"/>
    </row>
    <row r="2" spans="1:10" ht="15.95" customHeight="1" x14ac:dyDescent="0.3">
      <c r="A2" s="6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21.95" customHeight="1" x14ac:dyDescent="0.3">
      <c r="A3" s="11" t="s">
        <v>32</v>
      </c>
      <c r="B3" s="5"/>
      <c r="C3" s="5"/>
      <c r="D3" s="5"/>
      <c r="E3" s="5"/>
      <c r="F3" s="5"/>
      <c r="G3" s="5"/>
      <c r="H3" s="5"/>
      <c r="I3" s="5"/>
      <c r="J3" s="5"/>
    </row>
    <row r="4" spans="1:10" ht="26.1" customHeight="1" x14ac:dyDescent="0.3">
      <c r="A4" s="13" t="s">
        <v>33</v>
      </c>
      <c r="B4" s="13" t="s">
        <v>34</v>
      </c>
      <c r="C4" s="13" t="s">
        <v>35</v>
      </c>
      <c r="D4" s="13" t="s">
        <v>36</v>
      </c>
      <c r="E4" s="13" t="s">
        <v>37</v>
      </c>
      <c r="F4" s="13" t="s">
        <v>38</v>
      </c>
      <c r="G4" s="13" t="s">
        <v>39</v>
      </c>
      <c r="H4" s="13" t="s">
        <v>40</v>
      </c>
      <c r="I4" s="13" t="s">
        <v>41</v>
      </c>
      <c r="J4" s="13" t="s">
        <v>42</v>
      </c>
    </row>
    <row r="5" spans="1:10" x14ac:dyDescent="0.3">
      <c r="A5" s="1" t="s">
        <v>43</v>
      </c>
      <c r="B5" s="9"/>
      <c r="C5" s="9"/>
      <c r="D5" s="9"/>
      <c r="E5" s="9"/>
      <c r="F5" s="9"/>
      <c r="G5" s="9"/>
      <c r="H5" s="14" t="str">
        <f>IF((D5+E5+F5+G5)=0,"",ROUND(D5/(D5+E5+F5+G5)*100,1))</f>
        <v/>
      </c>
      <c r="I5" s="14" t="str">
        <f>IF(H5="","",ROUND(H5-70,1))</f>
        <v/>
      </c>
      <c r="J5" s="14" t="str">
        <f>IF(OR(B5="",B5=0),"",ROUND(C5/B5*100,1))</f>
        <v/>
      </c>
    </row>
    <row r="6" spans="1:10" x14ac:dyDescent="0.3">
      <c r="A6" s="1" t="s">
        <v>44</v>
      </c>
      <c r="B6" s="9"/>
      <c r="C6" s="9"/>
      <c r="D6" s="9"/>
      <c r="E6" s="9"/>
      <c r="F6" s="9"/>
      <c r="G6" s="9"/>
      <c r="H6" s="14" t="str">
        <f>IF((D6+E6+F6+G6)=0,"",ROUND(D6/(D6+E6+F6+G6)*100,1))</f>
        <v/>
      </c>
      <c r="I6" s="14" t="str">
        <f>IF(H6="","",ROUND(H6-70,1))</f>
        <v/>
      </c>
      <c r="J6" s="14" t="str">
        <f>IF(OR(B6="",B6=0),"",ROUND(C6/B6*100,1))</f>
        <v/>
      </c>
    </row>
    <row r="7" spans="1:10" x14ac:dyDescent="0.3">
      <c r="A7" s="1" t="s">
        <v>45</v>
      </c>
      <c r="B7" s="9"/>
      <c r="C7" s="9"/>
      <c r="D7" s="9"/>
      <c r="E7" s="9"/>
      <c r="F7" s="9"/>
      <c r="G7" s="9"/>
      <c r="H7" s="14" t="str">
        <f>IF((D7+E7+F7+G7)=0,"",ROUND(D7/(D7+E7+F7+G7)*100,1))</f>
        <v/>
      </c>
      <c r="I7" s="14" t="str">
        <f>IF(H7="","",ROUND(H7-70,1))</f>
        <v/>
      </c>
      <c r="J7" s="14" t="str">
        <f>IF(OR(B7="",B7=0),"",ROUND(C7/B7*100,1))</f>
        <v/>
      </c>
    </row>
    <row r="8" spans="1:10" x14ac:dyDescent="0.3">
      <c r="A8" s="1" t="s">
        <v>46</v>
      </c>
      <c r="B8" s="9"/>
      <c r="C8" s="9"/>
      <c r="D8" s="9"/>
      <c r="E8" s="9"/>
      <c r="F8" s="9"/>
      <c r="G8" s="9"/>
      <c r="H8" s="14" t="str">
        <f>IF((D8+E8+F8+G8)=0,"",ROUND(D8/(D8+E8+F8+G8)*100,1))</f>
        <v/>
      </c>
      <c r="I8" s="14" t="str">
        <f>IF(H8="","",ROUND(H8-70,1))</f>
        <v/>
      </c>
      <c r="J8" s="14" t="str">
        <f>IF(OR(B8="",B8=0),"",ROUND(C8/B8*100,1))</f>
        <v/>
      </c>
    </row>
    <row r="9" spans="1:10" x14ac:dyDescent="0.3">
      <c r="A9" s="16" t="s">
        <v>47</v>
      </c>
      <c r="B9" s="14">
        <f t="shared" ref="B9:G9" si="0">SUM(B5:B8)</f>
        <v>0</v>
      </c>
      <c r="C9" s="14">
        <f t="shared" si="0"/>
        <v>0</v>
      </c>
      <c r="D9" s="14">
        <f t="shared" si="0"/>
        <v>0</v>
      </c>
      <c r="E9" s="14">
        <f t="shared" si="0"/>
        <v>0</v>
      </c>
      <c r="F9" s="14">
        <f t="shared" si="0"/>
        <v>0</v>
      </c>
      <c r="G9" s="14">
        <f t="shared" si="0"/>
        <v>0</v>
      </c>
      <c r="H9" s="14" t="str">
        <f>IF((D9+E9+F9+G9)=0,"",ROUND(D9/(D9+E9+F9+G9)*100,1))</f>
        <v/>
      </c>
      <c r="I9" s="14" t="str">
        <f>IF(H9="","",ROUND(H9-70,1))</f>
        <v/>
      </c>
      <c r="J9" s="14" t="str">
        <f>IF(OR(B9="",B9=0),"",ROUND(C9/B9*100,1))</f>
        <v/>
      </c>
    </row>
    <row r="10" spans="1:10" x14ac:dyDescent="0.3">
      <c r="A10" s="8" t="s">
        <v>48</v>
      </c>
      <c r="B10" s="5"/>
      <c r="C10" s="5"/>
      <c r="D10" s="5"/>
      <c r="E10" s="5"/>
      <c r="F10" s="5"/>
      <c r="G10" s="5"/>
      <c r="H10" s="5"/>
      <c r="I10" s="5"/>
      <c r="J10" s="5"/>
    </row>
    <row r="12" spans="1:10" ht="21.95" customHeight="1" x14ac:dyDescent="0.3">
      <c r="A12" s="11" t="s">
        <v>49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ht="26.1" customHeight="1" x14ac:dyDescent="0.3">
      <c r="A13" s="13" t="s">
        <v>50</v>
      </c>
      <c r="B13" s="13" t="s">
        <v>33</v>
      </c>
      <c r="C13" s="13" t="s">
        <v>51</v>
      </c>
      <c r="D13" s="13" t="s">
        <v>52</v>
      </c>
      <c r="E13" s="13" t="s">
        <v>53</v>
      </c>
      <c r="F13" s="15" t="s">
        <v>54</v>
      </c>
      <c r="G13" s="5"/>
      <c r="H13" s="5"/>
      <c r="I13" s="5"/>
      <c r="J13" s="5"/>
    </row>
    <row r="14" spans="1:10" x14ac:dyDescent="0.3">
      <c r="A14" s="9"/>
      <c r="B14" s="9"/>
      <c r="C14" s="9"/>
      <c r="D14" s="9"/>
      <c r="E14" s="9"/>
      <c r="F14" s="10"/>
      <c r="G14" s="5"/>
      <c r="H14" s="5"/>
      <c r="I14" s="5"/>
      <c r="J14" s="5"/>
    </row>
    <row r="15" spans="1:10" x14ac:dyDescent="0.3">
      <c r="A15" s="9"/>
      <c r="B15" s="9"/>
      <c r="C15" s="9"/>
      <c r="D15" s="9"/>
      <c r="E15" s="9"/>
      <c r="F15" s="10"/>
      <c r="G15" s="5"/>
      <c r="H15" s="5"/>
      <c r="I15" s="5"/>
      <c r="J15" s="5"/>
    </row>
    <row r="16" spans="1:10" x14ac:dyDescent="0.3">
      <c r="A16" s="9"/>
      <c r="B16" s="9"/>
      <c r="C16" s="9"/>
      <c r="D16" s="9"/>
      <c r="E16" s="9"/>
      <c r="F16" s="10"/>
      <c r="G16" s="5"/>
      <c r="H16" s="5"/>
      <c r="I16" s="5"/>
      <c r="J16" s="5"/>
    </row>
    <row r="17" spans="1:10" x14ac:dyDescent="0.3">
      <c r="A17" s="9"/>
      <c r="B17" s="9"/>
      <c r="C17" s="9"/>
      <c r="D17" s="9"/>
      <c r="E17" s="9"/>
      <c r="F17" s="10"/>
      <c r="G17" s="5"/>
      <c r="H17" s="5"/>
      <c r="I17" s="5"/>
      <c r="J17" s="5"/>
    </row>
    <row r="18" spans="1:10" x14ac:dyDescent="0.3">
      <c r="A18" s="9"/>
      <c r="B18" s="9"/>
      <c r="C18" s="9"/>
      <c r="D18" s="9"/>
      <c r="E18" s="9"/>
      <c r="F18" s="10"/>
      <c r="G18" s="5"/>
      <c r="H18" s="5"/>
      <c r="I18" s="5"/>
      <c r="J18" s="5"/>
    </row>
    <row r="20" spans="1:10" ht="21.95" customHeight="1" x14ac:dyDescent="0.3">
      <c r="A20" s="11" t="s">
        <v>55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 ht="26.1" customHeight="1" x14ac:dyDescent="0.3">
      <c r="A21" s="13" t="s">
        <v>50</v>
      </c>
      <c r="B21" s="13" t="s">
        <v>33</v>
      </c>
      <c r="C21" s="15" t="s">
        <v>56</v>
      </c>
      <c r="D21" s="13" t="s">
        <v>57</v>
      </c>
      <c r="E21" s="15" t="s">
        <v>58</v>
      </c>
      <c r="F21" s="5"/>
      <c r="G21" s="13" t="s">
        <v>59</v>
      </c>
      <c r="H21" s="13"/>
      <c r="I21" s="13"/>
      <c r="J21" s="13"/>
    </row>
    <row r="22" spans="1:10" x14ac:dyDescent="0.3">
      <c r="A22" s="9"/>
      <c r="B22" s="9"/>
      <c r="C22" s="9"/>
      <c r="D22" s="9"/>
      <c r="E22" s="10"/>
      <c r="F22" s="5"/>
      <c r="G22" s="9"/>
    </row>
    <row r="23" spans="1:10" x14ac:dyDescent="0.3">
      <c r="A23" s="9"/>
      <c r="B23" s="9"/>
      <c r="C23" s="9"/>
      <c r="D23" s="9"/>
      <c r="E23" s="10"/>
      <c r="F23" s="5"/>
      <c r="G23" s="9"/>
    </row>
    <row r="24" spans="1:10" x14ac:dyDescent="0.3">
      <c r="A24" s="9"/>
      <c r="B24" s="9"/>
      <c r="C24" s="9"/>
      <c r="D24" s="9"/>
      <c r="E24" s="10"/>
      <c r="F24" s="5"/>
      <c r="G24" s="9"/>
    </row>
    <row r="25" spans="1:10" x14ac:dyDescent="0.3">
      <c r="A25" s="9"/>
      <c r="B25" s="9"/>
      <c r="C25" s="9"/>
      <c r="D25" s="9"/>
      <c r="E25" s="10"/>
      <c r="F25" s="5"/>
      <c r="G25" s="9"/>
    </row>
    <row r="26" spans="1:10" x14ac:dyDescent="0.3">
      <c r="A26" s="9"/>
      <c r="B26" s="9"/>
      <c r="C26" s="9"/>
      <c r="D26" s="9"/>
      <c r="E26" s="10"/>
      <c r="F26" s="5"/>
      <c r="G26" s="9"/>
    </row>
    <row r="28" spans="1:10" ht="21.95" customHeight="1" x14ac:dyDescent="0.3">
      <c r="A28" s="11" t="s">
        <v>60</v>
      </c>
      <c r="B28" s="5"/>
      <c r="C28" s="5"/>
      <c r="D28" s="5"/>
      <c r="E28" s="5"/>
      <c r="F28" s="5"/>
      <c r="G28" s="5"/>
      <c r="H28" s="5"/>
      <c r="I28" s="5"/>
      <c r="J28" s="5"/>
    </row>
    <row r="29" spans="1:10" ht="26.1" customHeight="1" x14ac:dyDescent="0.3">
      <c r="A29" s="15" t="s">
        <v>61</v>
      </c>
      <c r="B29" s="5"/>
      <c r="C29" s="13" t="s">
        <v>27</v>
      </c>
      <c r="D29" s="15" t="s">
        <v>62</v>
      </c>
      <c r="E29" s="5"/>
      <c r="F29" s="5"/>
      <c r="G29" s="5"/>
      <c r="H29" s="5"/>
      <c r="I29" s="5"/>
      <c r="J29" s="5"/>
    </row>
    <row r="30" spans="1:10" x14ac:dyDescent="0.3">
      <c r="A30" s="10"/>
      <c r="B30" s="5"/>
      <c r="C30" s="9"/>
      <c r="D30" s="10"/>
      <c r="E30" s="5"/>
      <c r="F30" s="5"/>
      <c r="G30" s="5"/>
      <c r="H30" s="5"/>
      <c r="I30" s="5"/>
      <c r="J30" s="5"/>
    </row>
    <row r="31" spans="1:10" x14ac:dyDescent="0.3">
      <c r="A31" s="10"/>
      <c r="B31" s="5"/>
      <c r="C31" s="9"/>
      <c r="D31" s="10"/>
      <c r="E31" s="5"/>
      <c r="F31" s="5"/>
      <c r="G31" s="5"/>
      <c r="H31" s="5"/>
      <c r="I31" s="5"/>
      <c r="J31" s="5"/>
    </row>
    <row r="32" spans="1:10" x14ac:dyDescent="0.3">
      <c r="A32" s="10"/>
      <c r="B32" s="5"/>
      <c r="C32" s="9"/>
      <c r="D32" s="10"/>
      <c r="E32" s="5"/>
      <c r="F32" s="5"/>
      <c r="G32" s="5"/>
      <c r="H32" s="5"/>
      <c r="I32" s="5"/>
      <c r="J32" s="5"/>
    </row>
    <row r="33" spans="1:10" x14ac:dyDescent="0.3">
      <c r="A33" s="10"/>
      <c r="B33" s="5"/>
      <c r="C33" s="9"/>
      <c r="D33" s="10"/>
      <c r="E33" s="5"/>
      <c r="F33" s="5"/>
      <c r="G33" s="5"/>
      <c r="H33" s="5"/>
      <c r="I33" s="5"/>
      <c r="J33" s="5"/>
    </row>
    <row r="35" spans="1:10" ht="21.95" customHeight="1" x14ac:dyDescent="0.3">
      <c r="A35" s="11" t="s">
        <v>63</v>
      </c>
      <c r="B35" s="5"/>
      <c r="C35" s="5"/>
      <c r="D35" s="5"/>
      <c r="E35" s="5"/>
      <c r="F35" s="5"/>
      <c r="G35" s="5"/>
      <c r="H35" s="5"/>
      <c r="I35" s="5"/>
      <c r="J35" s="5"/>
    </row>
    <row r="36" spans="1:10" x14ac:dyDescent="0.3">
      <c r="A36" s="12"/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3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x14ac:dyDescent="0.3">
      <c r="A38" s="5"/>
      <c r="B38" s="5"/>
      <c r="C38" s="5"/>
      <c r="D38" s="5"/>
      <c r="E38" s="5"/>
      <c r="F38" s="5"/>
      <c r="G38" s="5"/>
      <c r="H38" s="5"/>
      <c r="I38" s="5"/>
      <c r="J38" s="5"/>
    </row>
  </sheetData>
  <mergeCells count="32">
    <mergeCell ref="A1:J1"/>
    <mergeCell ref="A36:J38"/>
    <mergeCell ref="A33:B33"/>
    <mergeCell ref="A32:B32"/>
    <mergeCell ref="E26:F26"/>
    <mergeCell ref="F13:J13"/>
    <mergeCell ref="D32:J32"/>
    <mergeCell ref="A29:B29"/>
    <mergeCell ref="E25:F25"/>
    <mergeCell ref="C21"/>
    <mergeCell ref="A3:J3"/>
    <mergeCell ref="A12:J12"/>
    <mergeCell ref="E22:F22"/>
    <mergeCell ref="A2:J2"/>
    <mergeCell ref="F14:J14"/>
    <mergeCell ref="A31:B31"/>
    <mergeCell ref="A10:J10"/>
    <mergeCell ref="A28:J28"/>
    <mergeCell ref="D29:J29"/>
    <mergeCell ref="F15:J15"/>
    <mergeCell ref="F18:J18"/>
    <mergeCell ref="F17:J17"/>
    <mergeCell ref="E21:F21"/>
    <mergeCell ref="A30:B30"/>
    <mergeCell ref="E24:F24"/>
    <mergeCell ref="F16:J16"/>
    <mergeCell ref="E23:F23"/>
    <mergeCell ref="A35:J35"/>
    <mergeCell ref="A20:J20"/>
    <mergeCell ref="D30:J30"/>
    <mergeCell ref="D33:J33"/>
    <mergeCell ref="D31:J31"/>
  </mergeCells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showGridLines="0" workbookViewId="0"/>
  </sheetViews>
  <sheetFormatPr defaultRowHeight="16.5" x14ac:dyDescent="0.3"/>
  <cols>
    <col min="1" max="1" width="16" customWidth="1"/>
    <col min="2" max="2" width="11" customWidth="1"/>
    <col min="3" max="4" width="9" customWidth="1"/>
    <col min="5" max="5" width="12" customWidth="1"/>
    <col min="6" max="6" width="13" customWidth="1"/>
    <col min="7" max="7" width="12" customWidth="1"/>
    <col min="8" max="8" width="22" customWidth="1"/>
  </cols>
  <sheetData>
    <row r="1" spans="1:8" ht="27.95" customHeight="1" x14ac:dyDescent="0.3">
      <c r="A1" s="7" t="s">
        <v>64</v>
      </c>
      <c r="B1" s="5"/>
      <c r="C1" s="5"/>
      <c r="D1" s="5"/>
      <c r="E1" s="5"/>
      <c r="F1" s="5"/>
      <c r="G1" s="5"/>
      <c r="H1" s="5"/>
    </row>
    <row r="2" spans="1:8" ht="15.95" customHeight="1" x14ac:dyDescent="0.3">
      <c r="A2" s="6" t="s">
        <v>65</v>
      </c>
      <c r="B2" s="5"/>
      <c r="C2" s="5"/>
      <c r="D2" s="5"/>
      <c r="E2" s="5"/>
      <c r="F2" s="5"/>
      <c r="G2" s="5"/>
      <c r="H2" s="5"/>
    </row>
    <row r="3" spans="1:8" ht="21.95" customHeight="1" x14ac:dyDescent="0.3">
      <c r="A3" s="11" t="s">
        <v>66</v>
      </c>
      <c r="B3" s="5"/>
      <c r="C3" s="5"/>
      <c r="D3" s="5"/>
      <c r="E3" s="5"/>
      <c r="F3" s="5"/>
      <c r="G3" s="5"/>
      <c r="H3" s="5"/>
    </row>
    <row r="4" spans="1:8" ht="26.1" customHeight="1" x14ac:dyDescent="0.3">
      <c r="A4" s="13" t="s">
        <v>33</v>
      </c>
      <c r="B4" s="13" t="s">
        <v>67</v>
      </c>
      <c r="C4" s="13" t="s">
        <v>68</v>
      </c>
      <c r="D4" s="13" t="s">
        <v>69</v>
      </c>
      <c r="E4" s="13" t="s">
        <v>70</v>
      </c>
      <c r="F4" s="13" t="s">
        <v>71</v>
      </c>
      <c r="G4" s="13" t="s">
        <v>72</v>
      </c>
      <c r="H4" s="13" t="s">
        <v>73</v>
      </c>
    </row>
    <row r="5" spans="1:8" x14ac:dyDescent="0.3">
      <c r="A5" s="1" t="s">
        <v>43</v>
      </c>
      <c r="B5" s="9"/>
      <c r="C5" s="9"/>
      <c r="D5" s="9"/>
      <c r="E5" s="9"/>
      <c r="F5" s="9"/>
      <c r="G5" s="14" t="str">
        <f>IF(OR(B5="",B5=0),"",ROUND((E5+F5)/B5*100,1))</f>
        <v/>
      </c>
      <c r="H5" s="14" t="str">
        <f>IF(F5&gt;0,"⚠ 15일+ 회의안건",IF(E5&gt;0,"7일+ 담당자확인요청",IF(D5&gt;0,"미응답 당일확인","정상")))</f>
        <v>정상</v>
      </c>
    </row>
    <row r="6" spans="1:8" x14ac:dyDescent="0.3">
      <c r="A6" s="1" t="s">
        <v>44</v>
      </c>
      <c r="B6" s="9"/>
      <c r="C6" s="9"/>
      <c r="D6" s="9"/>
      <c r="E6" s="9"/>
      <c r="F6" s="9"/>
      <c r="G6" s="14" t="str">
        <f>IF(OR(B6="",B6=0),"",ROUND((E6+F6)/B6*100,1))</f>
        <v/>
      </c>
      <c r="H6" s="14" t="str">
        <f>IF(F6&gt;0,"⚠ 15일+ 회의안건",IF(E6&gt;0,"7일+ 담당자확인요청",IF(D6&gt;0,"미응답 당일확인","정상")))</f>
        <v>정상</v>
      </c>
    </row>
    <row r="7" spans="1:8" x14ac:dyDescent="0.3">
      <c r="A7" s="1" t="s">
        <v>45</v>
      </c>
      <c r="B7" s="9"/>
      <c r="C7" s="9"/>
      <c r="D7" s="9"/>
      <c r="E7" s="9"/>
      <c r="F7" s="9"/>
      <c r="G7" s="14" t="str">
        <f>IF(OR(B7="",B7=0),"",ROUND((E7+F7)/B7*100,1))</f>
        <v/>
      </c>
      <c r="H7" s="14" t="str">
        <f>IF(F7&gt;0,"⚠ 15일+ 회의안건",IF(E7&gt;0,"7일+ 담당자확인요청",IF(D7&gt;0,"미응답 당일확인","정상")))</f>
        <v>정상</v>
      </c>
    </row>
    <row r="8" spans="1:8" x14ac:dyDescent="0.3">
      <c r="A8" s="1" t="s">
        <v>46</v>
      </c>
      <c r="B8" s="9"/>
      <c r="C8" s="9"/>
      <c r="D8" s="9"/>
      <c r="E8" s="9"/>
      <c r="F8" s="9"/>
      <c r="G8" s="14" t="str">
        <f>IF(OR(B8="",B8=0),"",ROUND((E8+F8)/B8*100,1))</f>
        <v/>
      </c>
      <c r="H8" s="14" t="str">
        <f>IF(F8&gt;0,"⚠ 15일+ 회의안건",IF(E8&gt;0,"7일+ 담당자확인요청",IF(D8&gt;0,"미응답 당일확인","정상")))</f>
        <v>정상</v>
      </c>
    </row>
    <row r="9" spans="1:8" x14ac:dyDescent="0.3">
      <c r="A9" s="16" t="s">
        <v>74</v>
      </c>
      <c r="B9" s="14">
        <f>SUM(B5:B8)</f>
        <v>0</v>
      </c>
      <c r="C9" s="14">
        <f>SUM(C5:C8)</f>
        <v>0</v>
      </c>
      <c r="D9" s="14">
        <f>SUM(D5:D8)</f>
        <v>0</v>
      </c>
      <c r="E9" s="14">
        <f>SUM(E5:E8)</f>
        <v>0</v>
      </c>
      <c r="F9" s="14">
        <f>SUM(F5:F8)</f>
        <v>0</v>
      </c>
      <c r="G9" s="14" t="str">
        <f>IF(OR(B9="",B9=0),"",ROUND((E9+F9)/B9*100,1))</f>
        <v/>
      </c>
      <c r="H9" s="14" t="str">
        <f>""</f>
        <v/>
      </c>
    </row>
    <row r="10" spans="1:8" x14ac:dyDescent="0.3">
      <c r="A10" s="8" t="s">
        <v>75</v>
      </c>
      <c r="B10" s="5"/>
      <c r="C10" s="5"/>
      <c r="D10" s="5"/>
      <c r="E10" s="5"/>
      <c r="F10" s="5"/>
      <c r="G10" s="5"/>
      <c r="H10" s="5"/>
    </row>
    <row r="12" spans="1:8" ht="21.95" customHeight="1" x14ac:dyDescent="0.3">
      <c r="A12" s="11" t="s">
        <v>76</v>
      </c>
      <c r="B12" s="5"/>
      <c r="C12" s="5"/>
      <c r="D12" s="5"/>
      <c r="E12" s="5"/>
      <c r="F12" s="5"/>
      <c r="G12" s="5"/>
      <c r="H12" s="5"/>
    </row>
    <row r="13" spans="1:8" ht="26.1" customHeight="1" x14ac:dyDescent="0.3">
      <c r="A13" s="13" t="s">
        <v>50</v>
      </c>
      <c r="B13" s="13" t="s">
        <v>33</v>
      </c>
      <c r="C13" s="13" t="s">
        <v>77</v>
      </c>
      <c r="D13" s="13" t="s">
        <v>78</v>
      </c>
      <c r="E13" s="15" t="s">
        <v>79</v>
      </c>
      <c r="F13" s="5"/>
      <c r="G13" s="5"/>
      <c r="H13" s="13" t="s">
        <v>27</v>
      </c>
    </row>
    <row r="14" spans="1:8" x14ac:dyDescent="0.3">
      <c r="A14" s="9"/>
      <c r="B14" s="9"/>
      <c r="C14" s="9"/>
      <c r="D14" s="9"/>
      <c r="E14" s="10"/>
      <c r="F14" s="5"/>
      <c r="G14" s="5"/>
      <c r="H14" s="9"/>
    </row>
    <row r="15" spans="1:8" x14ac:dyDescent="0.3">
      <c r="A15" s="9"/>
      <c r="B15" s="9"/>
      <c r="C15" s="9"/>
      <c r="D15" s="9"/>
      <c r="E15" s="10"/>
      <c r="F15" s="5"/>
      <c r="G15" s="5"/>
      <c r="H15" s="9"/>
    </row>
    <row r="16" spans="1:8" x14ac:dyDescent="0.3">
      <c r="A16" s="9"/>
      <c r="B16" s="9"/>
      <c r="C16" s="9"/>
      <c r="D16" s="9"/>
      <c r="E16" s="10"/>
      <c r="F16" s="5"/>
      <c r="G16" s="5"/>
      <c r="H16" s="9"/>
    </row>
    <row r="17" spans="1:8" x14ac:dyDescent="0.3">
      <c r="A17" s="9"/>
      <c r="B17" s="9"/>
      <c r="C17" s="9"/>
      <c r="D17" s="9"/>
      <c r="E17" s="10"/>
      <c r="F17" s="5"/>
      <c r="G17" s="5"/>
      <c r="H17" s="9"/>
    </row>
    <row r="18" spans="1:8" x14ac:dyDescent="0.3">
      <c r="A18" s="9"/>
      <c r="B18" s="9"/>
      <c r="C18" s="9"/>
      <c r="D18" s="9"/>
      <c r="E18" s="10"/>
      <c r="F18" s="5"/>
      <c r="G18" s="5"/>
      <c r="H18" s="9"/>
    </row>
    <row r="20" spans="1:8" ht="21.95" customHeight="1" x14ac:dyDescent="0.3">
      <c r="A20" s="11" t="s">
        <v>80</v>
      </c>
      <c r="B20" s="5"/>
      <c r="C20" s="5"/>
      <c r="D20" s="5"/>
      <c r="E20" s="5"/>
      <c r="F20" s="5"/>
      <c r="G20" s="5"/>
      <c r="H20" s="5"/>
    </row>
    <row r="21" spans="1:8" ht="26.1" customHeight="1" x14ac:dyDescent="0.3">
      <c r="A21" s="13" t="s">
        <v>50</v>
      </c>
      <c r="B21" s="13" t="s">
        <v>33</v>
      </c>
      <c r="C21" s="15" t="s">
        <v>81</v>
      </c>
      <c r="D21" s="5"/>
      <c r="E21" s="15" t="s">
        <v>82</v>
      </c>
      <c r="F21" s="5"/>
      <c r="G21" s="13" t="s">
        <v>27</v>
      </c>
      <c r="H21" s="13"/>
    </row>
    <row r="22" spans="1:8" x14ac:dyDescent="0.3">
      <c r="A22" s="9"/>
      <c r="B22" s="9"/>
      <c r="C22" s="10"/>
      <c r="D22" s="5"/>
      <c r="E22" s="10"/>
      <c r="F22" s="5"/>
      <c r="G22" s="9"/>
    </row>
    <row r="23" spans="1:8" x14ac:dyDescent="0.3">
      <c r="A23" s="9"/>
      <c r="B23" s="9"/>
      <c r="C23" s="10"/>
      <c r="D23" s="5"/>
      <c r="E23" s="10"/>
      <c r="F23" s="5"/>
      <c r="G23" s="9"/>
    </row>
    <row r="24" spans="1:8" x14ac:dyDescent="0.3">
      <c r="A24" s="9"/>
      <c r="B24" s="9"/>
      <c r="C24" s="10"/>
      <c r="D24" s="5"/>
      <c r="E24" s="10"/>
      <c r="F24" s="5"/>
      <c r="G24" s="9"/>
    </row>
    <row r="25" spans="1:8" x14ac:dyDescent="0.3">
      <c r="A25" s="9"/>
      <c r="B25" s="9"/>
      <c r="C25" s="10"/>
      <c r="D25" s="5"/>
      <c r="E25" s="10"/>
      <c r="F25" s="5"/>
      <c r="G25" s="9"/>
    </row>
    <row r="26" spans="1:8" x14ac:dyDescent="0.3">
      <c r="A26" s="9"/>
      <c r="B26" s="9"/>
      <c r="C26" s="10"/>
      <c r="D26" s="5"/>
      <c r="E26" s="10"/>
      <c r="F26" s="5"/>
      <c r="G26" s="9"/>
    </row>
    <row r="28" spans="1:8" ht="21.95" customHeight="1" x14ac:dyDescent="0.3">
      <c r="A28" s="11" t="s">
        <v>83</v>
      </c>
      <c r="B28" s="5"/>
      <c r="C28" s="5"/>
      <c r="D28" s="5"/>
      <c r="E28" s="5"/>
      <c r="F28" s="5"/>
      <c r="G28" s="5"/>
      <c r="H28" s="5"/>
    </row>
    <row r="29" spans="1:8" x14ac:dyDescent="0.3">
      <c r="A29" s="12"/>
      <c r="B29" s="5"/>
      <c r="C29" s="5"/>
      <c r="D29" s="5"/>
      <c r="E29" s="5"/>
      <c r="F29" s="5"/>
      <c r="G29" s="5"/>
      <c r="H29" s="5"/>
    </row>
    <row r="30" spans="1:8" x14ac:dyDescent="0.3">
      <c r="A30" s="5"/>
      <c r="B30" s="5"/>
      <c r="C30" s="5"/>
      <c r="D30" s="5"/>
      <c r="E30" s="5"/>
      <c r="F30" s="5"/>
      <c r="G30" s="5"/>
      <c r="H30" s="5"/>
    </row>
    <row r="31" spans="1:8" x14ac:dyDescent="0.3">
      <c r="A31" s="5"/>
      <c r="B31" s="5"/>
      <c r="C31" s="5"/>
      <c r="D31" s="5"/>
      <c r="E31" s="5"/>
      <c r="F31" s="5"/>
      <c r="G31" s="5"/>
      <c r="H31" s="5"/>
    </row>
  </sheetData>
  <mergeCells count="26">
    <mergeCell ref="A29:H31"/>
    <mergeCell ref="A10:H10"/>
    <mergeCell ref="A28:H28"/>
    <mergeCell ref="E17:G17"/>
    <mergeCell ref="E22:F22"/>
    <mergeCell ref="E21:F21"/>
    <mergeCell ref="C26:D26"/>
    <mergeCell ref="C25:D25"/>
    <mergeCell ref="C22:D22"/>
    <mergeCell ref="E16:G16"/>
    <mergeCell ref="A12:H12"/>
    <mergeCell ref="C21:D21"/>
    <mergeCell ref="E18:G18"/>
    <mergeCell ref="E26:F26"/>
    <mergeCell ref="C23:D23"/>
    <mergeCell ref="E14:G14"/>
    <mergeCell ref="A20:H20"/>
    <mergeCell ref="E25:F25"/>
    <mergeCell ref="E13:G13"/>
    <mergeCell ref="C24:D24"/>
    <mergeCell ref="E24:F24"/>
    <mergeCell ref="E23:F23"/>
    <mergeCell ref="A1:H1"/>
    <mergeCell ref="E15:G15"/>
    <mergeCell ref="A3:H3"/>
    <mergeCell ref="A2:H2"/>
  </mergeCells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showGridLines="0" workbookViewId="0"/>
  </sheetViews>
  <sheetFormatPr defaultRowHeight="16.5" x14ac:dyDescent="0.3"/>
  <cols>
    <col min="1" max="1" width="30" customWidth="1"/>
    <col min="2" max="2" width="10" customWidth="1"/>
    <col min="3" max="3" width="8" customWidth="1"/>
    <col min="4" max="5" width="11" customWidth="1"/>
    <col min="6" max="6" width="12" customWidth="1"/>
    <col min="7" max="7" width="13" customWidth="1"/>
    <col min="8" max="8" width="20" customWidth="1"/>
  </cols>
  <sheetData>
    <row r="1" spans="1:8" ht="27.95" customHeight="1" x14ac:dyDescent="0.3">
      <c r="A1" s="7" t="s">
        <v>84</v>
      </c>
      <c r="B1" s="5"/>
      <c r="C1" s="5"/>
      <c r="D1" s="5"/>
      <c r="E1" s="5"/>
      <c r="F1" s="5"/>
      <c r="G1" s="5"/>
      <c r="H1" s="5"/>
    </row>
    <row r="2" spans="1:8" ht="15.95" customHeight="1" x14ac:dyDescent="0.3">
      <c r="A2" s="6" t="s">
        <v>85</v>
      </c>
      <c r="B2" s="5"/>
      <c r="C2" s="5"/>
      <c r="D2" s="5"/>
      <c r="E2" s="5"/>
      <c r="F2" s="5"/>
      <c r="G2" s="5"/>
      <c r="H2" s="5"/>
    </row>
    <row r="3" spans="1:8" ht="21.95" customHeight="1" x14ac:dyDescent="0.3">
      <c r="A3" s="11" t="s">
        <v>86</v>
      </c>
      <c r="B3" s="5"/>
      <c r="C3" s="5"/>
      <c r="D3" s="5"/>
      <c r="E3" s="5"/>
      <c r="F3" s="5"/>
      <c r="G3" s="5"/>
      <c r="H3" s="5"/>
    </row>
    <row r="4" spans="1:8" ht="26.1" customHeight="1" x14ac:dyDescent="0.3">
      <c r="A4" s="13" t="s">
        <v>87</v>
      </c>
      <c r="B4" s="13" t="s">
        <v>88</v>
      </c>
      <c r="C4" s="13" t="s">
        <v>89</v>
      </c>
      <c r="D4" s="13" t="s">
        <v>90</v>
      </c>
      <c r="E4" s="13" t="s">
        <v>91</v>
      </c>
      <c r="F4" s="13" t="s">
        <v>92</v>
      </c>
      <c r="G4" s="13" t="s">
        <v>93</v>
      </c>
      <c r="H4" s="13" t="s">
        <v>94</v>
      </c>
    </row>
    <row r="5" spans="1:8" x14ac:dyDescent="0.3">
      <c r="A5" s="17" t="s">
        <v>95</v>
      </c>
      <c r="B5" s="5"/>
      <c r="C5" s="5"/>
      <c r="D5" s="5"/>
      <c r="E5" s="5"/>
      <c r="F5" s="5"/>
      <c r="G5" s="5"/>
      <c r="H5" s="5"/>
    </row>
    <row r="6" spans="1:8" x14ac:dyDescent="0.3">
      <c r="A6" s="2" t="s">
        <v>96</v>
      </c>
      <c r="B6" s="4" t="s">
        <v>97</v>
      </c>
      <c r="C6" s="4">
        <v>70</v>
      </c>
      <c r="D6" s="9"/>
      <c r="E6" s="9"/>
      <c r="F6" s="14">
        <f>IF(E6="",D6,IF(E6=0,"",ROUND(D6/E6*100,1)))</f>
        <v>0</v>
      </c>
      <c r="G6" s="14">
        <f>IF(OR(F6="",NOT(ISNUMBER(C6))),"",ROUND(F6-C6,1))</f>
        <v>-70</v>
      </c>
      <c r="H6" s="9"/>
    </row>
    <row r="7" spans="1:8" x14ac:dyDescent="0.3">
      <c r="A7" s="17" t="s">
        <v>98</v>
      </c>
      <c r="B7" s="5"/>
      <c r="C7" s="5"/>
      <c r="D7" s="5"/>
      <c r="E7" s="5"/>
      <c r="F7" s="5"/>
      <c r="G7" s="5"/>
      <c r="H7" s="5"/>
    </row>
    <row r="8" spans="1:8" x14ac:dyDescent="0.3">
      <c r="A8" s="2" t="s">
        <v>99</v>
      </c>
      <c r="B8" s="4" t="s">
        <v>100</v>
      </c>
      <c r="C8" s="4">
        <v>100</v>
      </c>
      <c r="D8" s="9"/>
      <c r="E8" s="9"/>
      <c r="F8" s="14">
        <f t="shared" ref="F8:F15" si="0">IF(E8="",D8,IF(E8=0,"",ROUND(D8/E8*100,1)))</f>
        <v>0</v>
      </c>
      <c r="G8" s="14">
        <f t="shared" ref="G8:G15" si="1">IF(OR(F8="",NOT(ISNUMBER(C8))),"",ROUND(F8-C8,1))</f>
        <v>-100</v>
      </c>
      <c r="H8" s="9"/>
    </row>
    <row r="9" spans="1:8" x14ac:dyDescent="0.3">
      <c r="A9" s="2" t="s">
        <v>101</v>
      </c>
      <c r="B9" s="4" t="s">
        <v>100</v>
      </c>
      <c r="C9" s="4">
        <v>100</v>
      </c>
      <c r="D9" s="9"/>
      <c r="E9" s="9"/>
      <c r="F9" s="14">
        <f t="shared" si="0"/>
        <v>0</v>
      </c>
      <c r="G9" s="14">
        <f t="shared" si="1"/>
        <v>-100</v>
      </c>
      <c r="H9" s="9"/>
    </row>
    <row r="10" spans="1:8" x14ac:dyDescent="0.3">
      <c r="A10" s="2" t="s">
        <v>102</v>
      </c>
      <c r="B10" s="4" t="s">
        <v>100</v>
      </c>
      <c r="C10" s="4">
        <v>100</v>
      </c>
      <c r="D10" s="9"/>
      <c r="E10" s="9"/>
      <c r="F10" s="14">
        <f t="shared" si="0"/>
        <v>0</v>
      </c>
      <c r="G10" s="14">
        <f t="shared" si="1"/>
        <v>-100</v>
      </c>
      <c r="H10" s="9"/>
    </row>
    <row r="11" spans="1:8" x14ac:dyDescent="0.3">
      <c r="A11" s="2" t="s">
        <v>103</v>
      </c>
      <c r="B11" s="4" t="s">
        <v>100</v>
      </c>
      <c r="C11" s="4">
        <v>100</v>
      </c>
      <c r="D11" s="9"/>
      <c r="E11" s="9"/>
      <c r="F11" s="14">
        <f t="shared" si="0"/>
        <v>0</v>
      </c>
      <c r="G11" s="14">
        <f t="shared" si="1"/>
        <v>-100</v>
      </c>
      <c r="H11" s="9"/>
    </row>
    <row r="12" spans="1:8" x14ac:dyDescent="0.3">
      <c r="A12" s="2" t="s">
        <v>104</v>
      </c>
      <c r="B12" s="4" t="s">
        <v>100</v>
      </c>
      <c r="C12" s="4">
        <v>100</v>
      </c>
      <c r="D12" s="9"/>
      <c r="E12" s="9"/>
      <c r="F12" s="14">
        <f t="shared" si="0"/>
        <v>0</v>
      </c>
      <c r="G12" s="14">
        <f t="shared" si="1"/>
        <v>-100</v>
      </c>
      <c r="H12" s="9"/>
    </row>
    <row r="13" spans="1:8" x14ac:dyDescent="0.3">
      <c r="A13" s="2" t="s">
        <v>105</v>
      </c>
      <c r="B13" s="4" t="s">
        <v>100</v>
      </c>
      <c r="C13" s="4">
        <v>100</v>
      </c>
      <c r="D13" s="9"/>
      <c r="E13" s="9"/>
      <c r="F13" s="14">
        <f t="shared" si="0"/>
        <v>0</v>
      </c>
      <c r="G13" s="14">
        <f t="shared" si="1"/>
        <v>-100</v>
      </c>
      <c r="H13" s="9"/>
    </row>
    <row r="14" spans="1:8" x14ac:dyDescent="0.3">
      <c r="A14" s="2" t="s">
        <v>106</v>
      </c>
      <c r="B14" s="4" t="s">
        <v>100</v>
      </c>
      <c r="C14" s="4">
        <v>100</v>
      </c>
      <c r="D14" s="9"/>
      <c r="E14" s="9"/>
      <c r="F14" s="14">
        <f t="shared" si="0"/>
        <v>0</v>
      </c>
      <c r="G14" s="14">
        <f t="shared" si="1"/>
        <v>-100</v>
      </c>
      <c r="H14" s="9"/>
    </row>
    <row r="15" spans="1:8" x14ac:dyDescent="0.3">
      <c r="A15" s="2" t="s">
        <v>107</v>
      </c>
      <c r="B15" s="4" t="s">
        <v>100</v>
      </c>
      <c r="C15" s="4">
        <v>100</v>
      </c>
      <c r="D15" s="9"/>
      <c r="E15" s="9"/>
      <c r="F15" s="14">
        <f t="shared" si="0"/>
        <v>0</v>
      </c>
      <c r="G15" s="14">
        <f t="shared" si="1"/>
        <v>-100</v>
      </c>
      <c r="H15" s="9"/>
    </row>
    <row r="17" spans="1:8" ht="21.95" customHeight="1" x14ac:dyDescent="0.3">
      <c r="A17" s="11" t="s">
        <v>108</v>
      </c>
      <c r="B17" s="5"/>
      <c r="C17" s="5"/>
      <c r="D17" s="5"/>
      <c r="E17" s="5"/>
      <c r="F17" s="5"/>
      <c r="G17" s="5"/>
      <c r="H17" s="5"/>
    </row>
    <row r="18" spans="1:8" ht="26.1" customHeight="1" x14ac:dyDescent="0.3">
      <c r="A18" s="13" t="s">
        <v>87</v>
      </c>
      <c r="B18" s="13" t="s">
        <v>88</v>
      </c>
      <c r="C18" s="13" t="s">
        <v>89</v>
      </c>
      <c r="D18" s="13" t="s">
        <v>90</v>
      </c>
      <c r="E18" s="13" t="s">
        <v>91</v>
      </c>
      <c r="F18" s="13" t="s">
        <v>92</v>
      </c>
      <c r="G18" s="13" t="s">
        <v>93</v>
      </c>
      <c r="H18" s="13" t="s">
        <v>94</v>
      </c>
    </row>
    <row r="19" spans="1:8" x14ac:dyDescent="0.3">
      <c r="A19" s="17" t="s">
        <v>95</v>
      </c>
      <c r="B19" s="5"/>
      <c r="C19" s="5"/>
      <c r="D19" s="5"/>
      <c r="E19" s="5"/>
      <c r="F19" s="5"/>
      <c r="G19" s="5"/>
      <c r="H19" s="5"/>
    </row>
    <row r="20" spans="1:8" x14ac:dyDescent="0.3">
      <c r="A20" s="2" t="s">
        <v>109</v>
      </c>
      <c r="B20" s="4" t="s">
        <v>97</v>
      </c>
      <c r="C20" s="4" t="s">
        <v>110</v>
      </c>
      <c r="D20" s="9"/>
      <c r="E20" s="9"/>
      <c r="F20" s="14">
        <f>IF(E20="",D20,IF(E20=0,"",ROUND(D20/E20*100,1)))</f>
        <v>0</v>
      </c>
      <c r="G20" s="14" t="str">
        <f>IF(OR(F20="",NOT(ISNUMBER(C20))),"",ROUND(F20-C20,1))</f>
        <v/>
      </c>
      <c r="H20" s="9"/>
    </row>
    <row r="21" spans="1:8" x14ac:dyDescent="0.3">
      <c r="A21" s="2" t="s">
        <v>111</v>
      </c>
      <c r="B21" s="4" t="s">
        <v>97</v>
      </c>
      <c r="C21" s="4">
        <v>0</v>
      </c>
      <c r="D21" s="9"/>
      <c r="E21" s="9"/>
      <c r="F21" s="14">
        <f>IF(E21="",D21,IF(E21=0,"",ROUND(D21/E21*100,1)))</f>
        <v>0</v>
      </c>
      <c r="G21" s="14">
        <f>IF(OR(F21="",NOT(ISNUMBER(C21))),"",ROUND(F21-C21,1))</f>
        <v>0</v>
      </c>
      <c r="H21" s="9"/>
    </row>
    <row r="22" spans="1:8" x14ac:dyDescent="0.3">
      <c r="A22" s="2" t="s">
        <v>112</v>
      </c>
      <c r="B22" s="4" t="s">
        <v>97</v>
      </c>
      <c r="C22" s="4">
        <v>0</v>
      </c>
      <c r="D22" s="9"/>
      <c r="E22" s="9"/>
      <c r="F22" s="14">
        <f>IF(E22="",D22,IF(E22=0,"",ROUND(D22/E22*100,1)))</f>
        <v>0</v>
      </c>
      <c r="G22" s="14">
        <f>IF(OR(F22="",NOT(ISNUMBER(C22))),"",ROUND(F22-C22,1))</f>
        <v>0</v>
      </c>
      <c r="H22" s="9"/>
    </row>
    <row r="23" spans="1:8" x14ac:dyDescent="0.3">
      <c r="A23" s="17" t="s">
        <v>98</v>
      </c>
      <c r="B23" s="5"/>
      <c r="C23" s="5"/>
      <c r="D23" s="5"/>
      <c r="E23" s="5"/>
      <c r="F23" s="5"/>
      <c r="G23" s="5"/>
      <c r="H23" s="5"/>
    </row>
    <row r="24" spans="1:8" x14ac:dyDescent="0.3">
      <c r="A24" s="2" t="s">
        <v>113</v>
      </c>
      <c r="B24" s="4" t="s">
        <v>100</v>
      </c>
      <c r="C24" s="4">
        <v>100</v>
      </c>
      <c r="D24" s="9"/>
      <c r="E24" s="9"/>
      <c r="F24" s="14">
        <f t="shared" ref="F24:F31" si="2">IF(E24="",D24,IF(E24=0,"",ROUND(D24/E24*100,1)))</f>
        <v>0</v>
      </c>
      <c r="G24" s="14">
        <f t="shared" ref="G24:G31" si="3">IF(OR(F24="",NOT(ISNUMBER(C24))),"",ROUND(F24-C24,1))</f>
        <v>-100</v>
      </c>
      <c r="H24" s="9"/>
    </row>
    <row r="25" spans="1:8" x14ac:dyDescent="0.3">
      <c r="A25" s="2" t="s">
        <v>114</v>
      </c>
      <c r="B25" s="4" t="s">
        <v>100</v>
      </c>
      <c r="C25" s="4">
        <v>100</v>
      </c>
      <c r="D25" s="9"/>
      <c r="E25" s="9"/>
      <c r="F25" s="14">
        <f t="shared" si="2"/>
        <v>0</v>
      </c>
      <c r="G25" s="14">
        <f t="shared" si="3"/>
        <v>-100</v>
      </c>
      <c r="H25" s="9"/>
    </row>
    <row r="26" spans="1:8" x14ac:dyDescent="0.3">
      <c r="A26" s="2" t="s">
        <v>115</v>
      </c>
      <c r="B26" s="4" t="s">
        <v>100</v>
      </c>
      <c r="C26" s="4">
        <v>100</v>
      </c>
      <c r="D26" s="9"/>
      <c r="E26" s="9"/>
      <c r="F26" s="14">
        <f t="shared" si="2"/>
        <v>0</v>
      </c>
      <c r="G26" s="14">
        <f t="shared" si="3"/>
        <v>-100</v>
      </c>
      <c r="H26" s="9"/>
    </row>
    <row r="27" spans="1:8" x14ac:dyDescent="0.3">
      <c r="A27" s="2" t="s">
        <v>116</v>
      </c>
      <c r="B27" s="4" t="s">
        <v>100</v>
      </c>
      <c r="C27" s="4">
        <v>100</v>
      </c>
      <c r="D27" s="9"/>
      <c r="E27" s="9"/>
      <c r="F27" s="14">
        <f t="shared" si="2"/>
        <v>0</v>
      </c>
      <c r="G27" s="14">
        <f t="shared" si="3"/>
        <v>-100</v>
      </c>
      <c r="H27" s="9"/>
    </row>
    <row r="28" spans="1:8" x14ac:dyDescent="0.3">
      <c r="A28" s="2" t="s">
        <v>117</v>
      </c>
      <c r="B28" s="4" t="s">
        <v>100</v>
      </c>
      <c r="C28" s="4">
        <v>100</v>
      </c>
      <c r="D28" s="9"/>
      <c r="E28" s="9"/>
      <c r="F28" s="14">
        <f t="shared" si="2"/>
        <v>0</v>
      </c>
      <c r="G28" s="14">
        <f t="shared" si="3"/>
        <v>-100</v>
      </c>
      <c r="H28" s="9"/>
    </row>
    <row r="29" spans="1:8" x14ac:dyDescent="0.3">
      <c r="A29" s="2" t="s">
        <v>118</v>
      </c>
      <c r="B29" s="4" t="s">
        <v>100</v>
      </c>
      <c r="C29" s="4">
        <v>100</v>
      </c>
      <c r="D29" s="9"/>
      <c r="E29" s="9"/>
      <c r="F29" s="14">
        <f t="shared" si="2"/>
        <v>0</v>
      </c>
      <c r="G29" s="14">
        <f t="shared" si="3"/>
        <v>-100</v>
      </c>
      <c r="H29" s="9"/>
    </row>
    <row r="30" spans="1:8" x14ac:dyDescent="0.3">
      <c r="A30" s="2" t="s">
        <v>119</v>
      </c>
      <c r="B30" s="4" t="s">
        <v>100</v>
      </c>
      <c r="C30" s="4">
        <v>100</v>
      </c>
      <c r="D30" s="9"/>
      <c r="E30" s="9"/>
      <c r="F30" s="14">
        <f t="shared" si="2"/>
        <v>0</v>
      </c>
      <c r="G30" s="14">
        <f t="shared" si="3"/>
        <v>-100</v>
      </c>
      <c r="H30" s="9"/>
    </row>
    <row r="31" spans="1:8" x14ac:dyDescent="0.3">
      <c r="A31" s="2" t="s">
        <v>120</v>
      </c>
      <c r="B31" s="4" t="s">
        <v>100</v>
      </c>
      <c r="C31" s="4">
        <v>100</v>
      </c>
      <c r="D31" s="9"/>
      <c r="E31" s="9"/>
      <c r="F31" s="14">
        <f t="shared" si="2"/>
        <v>0</v>
      </c>
      <c r="G31" s="14">
        <f t="shared" si="3"/>
        <v>-100</v>
      </c>
      <c r="H31" s="9"/>
    </row>
  </sheetData>
  <mergeCells count="8">
    <mergeCell ref="A23:H23"/>
    <mergeCell ref="A17:H17"/>
    <mergeCell ref="A1:H1"/>
    <mergeCell ref="A3:H3"/>
    <mergeCell ref="A7:H7"/>
    <mergeCell ref="A2:H2"/>
    <mergeCell ref="A19:H19"/>
    <mergeCell ref="A5:H5"/>
  </mergeCells>
  <phoneticPr fontId="1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showGridLines="0" workbookViewId="0"/>
  </sheetViews>
  <sheetFormatPr defaultRowHeight="16.5" x14ac:dyDescent="0.3"/>
  <cols>
    <col min="1" max="1" width="19" customWidth="1"/>
    <col min="2" max="2" width="8" customWidth="1"/>
    <col min="3" max="3" width="15" customWidth="1"/>
    <col min="4" max="4" width="2" customWidth="1"/>
    <col min="5" max="5" width="19" customWidth="1"/>
    <col min="6" max="6" width="8" customWidth="1"/>
    <col min="7" max="7" width="15" customWidth="1"/>
    <col min="8" max="8" width="2" customWidth="1"/>
    <col min="9" max="9" width="19" customWidth="1"/>
    <col min="10" max="10" width="8" customWidth="1"/>
    <col min="11" max="11" width="15" customWidth="1"/>
  </cols>
  <sheetData>
    <row r="1" spans="1:11" ht="27.95" customHeight="1" x14ac:dyDescent="0.3">
      <c r="A1" s="7" t="s">
        <v>121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">
      <c r="A2" s="8" t="s">
        <v>122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ht="24" customHeight="1" x14ac:dyDescent="0.3">
      <c r="A4" s="18" t="s">
        <v>123</v>
      </c>
      <c r="B4" s="5"/>
      <c r="C4" s="5"/>
      <c r="E4" s="19" t="s">
        <v>124</v>
      </c>
      <c r="F4" s="5"/>
      <c r="G4" s="5"/>
      <c r="I4" s="20" t="s">
        <v>125</v>
      </c>
      <c r="J4" s="5"/>
      <c r="K4" s="5"/>
    </row>
    <row r="5" spans="1:11" ht="17.25" x14ac:dyDescent="0.3">
      <c r="A5" s="21" t="s">
        <v>126</v>
      </c>
      <c r="B5" s="5"/>
      <c r="C5" s="22">
        <f>COUNTA(A7:A16)</f>
        <v>0</v>
      </c>
      <c r="E5" s="21" t="s">
        <v>126</v>
      </c>
      <c r="F5" s="5"/>
      <c r="G5" s="22">
        <f>COUNTA(E7:E16)</f>
        <v>0</v>
      </c>
      <c r="I5" s="21" t="s">
        <v>126</v>
      </c>
      <c r="J5" s="5"/>
      <c r="K5" s="22">
        <f>COUNTA(I7:I16)</f>
        <v>0</v>
      </c>
    </row>
    <row r="6" spans="1:11" ht="26.1" customHeight="1" x14ac:dyDescent="0.3">
      <c r="A6" s="13" t="s">
        <v>50</v>
      </c>
      <c r="B6" s="13" t="s">
        <v>26</v>
      </c>
      <c r="C6" s="13" t="s">
        <v>127</v>
      </c>
      <c r="E6" s="13" t="s">
        <v>50</v>
      </c>
      <c r="F6" s="13" t="s">
        <v>26</v>
      </c>
      <c r="G6" s="13" t="s">
        <v>127</v>
      </c>
      <c r="I6" s="13" t="s">
        <v>50</v>
      </c>
      <c r="J6" s="13" t="s">
        <v>26</v>
      </c>
      <c r="K6" s="13" t="s">
        <v>127</v>
      </c>
    </row>
    <row r="7" spans="1:11" ht="20.100000000000001" customHeight="1" x14ac:dyDescent="0.3">
      <c r="A7" s="9"/>
      <c r="B7" s="9"/>
      <c r="C7" s="9"/>
      <c r="E7" s="9"/>
      <c r="F7" s="9"/>
      <c r="G7" s="9"/>
      <c r="I7" s="9"/>
      <c r="J7" s="9"/>
      <c r="K7" s="9"/>
    </row>
    <row r="8" spans="1:11" ht="20.100000000000001" customHeight="1" x14ac:dyDescent="0.3">
      <c r="A8" s="9"/>
      <c r="B8" s="9"/>
      <c r="C8" s="9"/>
      <c r="E8" s="9"/>
      <c r="F8" s="9"/>
      <c r="G8" s="9"/>
      <c r="I8" s="9"/>
      <c r="J8" s="9"/>
      <c r="K8" s="9"/>
    </row>
    <row r="9" spans="1:11" ht="20.100000000000001" customHeight="1" x14ac:dyDescent="0.3">
      <c r="A9" s="9"/>
      <c r="B9" s="9"/>
      <c r="C9" s="9"/>
      <c r="E9" s="9"/>
      <c r="F9" s="9"/>
      <c r="G9" s="9"/>
      <c r="I9" s="9"/>
      <c r="J9" s="9"/>
      <c r="K9" s="9"/>
    </row>
    <row r="10" spans="1:11" ht="20.100000000000001" customHeight="1" x14ac:dyDescent="0.3">
      <c r="A10" s="9"/>
      <c r="B10" s="9"/>
      <c r="C10" s="9"/>
      <c r="E10" s="9"/>
      <c r="F10" s="9"/>
      <c r="G10" s="9"/>
      <c r="I10" s="9"/>
      <c r="J10" s="9"/>
      <c r="K10" s="9"/>
    </row>
    <row r="11" spans="1:11" ht="20.100000000000001" customHeight="1" x14ac:dyDescent="0.3">
      <c r="A11" s="9"/>
      <c r="B11" s="9"/>
      <c r="C11" s="9"/>
      <c r="E11" s="9"/>
      <c r="F11" s="9"/>
      <c r="G11" s="9"/>
      <c r="I11" s="9"/>
      <c r="J11" s="9"/>
      <c r="K11" s="9"/>
    </row>
    <row r="12" spans="1:11" ht="20.100000000000001" customHeight="1" x14ac:dyDescent="0.3">
      <c r="A12" s="9"/>
      <c r="B12" s="9"/>
      <c r="C12" s="9"/>
      <c r="E12" s="9"/>
      <c r="F12" s="9"/>
      <c r="G12" s="9"/>
      <c r="I12" s="9"/>
      <c r="J12" s="9"/>
      <c r="K12" s="9"/>
    </row>
    <row r="13" spans="1:11" ht="20.100000000000001" customHeight="1" x14ac:dyDescent="0.3">
      <c r="A13" s="9"/>
      <c r="B13" s="9"/>
      <c r="C13" s="9"/>
      <c r="E13" s="9"/>
      <c r="F13" s="9"/>
      <c r="G13" s="9"/>
      <c r="I13" s="9"/>
      <c r="J13" s="9"/>
      <c r="K13" s="9"/>
    </row>
    <row r="14" spans="1:11" ht="20.100000000000001" customHeight="1" x14ac:dyDescent="0.3">
      <c r="A14" s="9"/>
      <c r="B14" s="9"/>
      <c r="C14" s="9"/>
      <c r="E14" s="9"/>
      <c r="F14" s="9"/>
      <c r="G14" s="9"/>
      <c r="I14" s="9"/>
      <c r="J14" s="9"/>
      <c r="K14" s="9"/>
    </row>
    <row r="15" spans="1:11" ht="20.100000000000001" customHeight="1" x14ac:dyDescent="0.3">
      <c r="A15" s="9"/>
      <c r="B15" s="9"/>
      <c r="C15" s="9"/>
      <c r="E15" s="9"/>
      <c r="F15" s="9"/>
      <c r="G15" s="9"/>
      <c r="I15" s="9"/>
      <c r="J15" s="9"/>
      <c r="K15" s="9"/>
    </row>
    <row r="16" spans="1:11" ht="20.100000000000001" customHeight="1" x14ac:dyDescent="0.3">
      <c r="A16" s="9"/>
      <c r="B16" s="9"/>
      <c r="C16" s="9"/>
      <c r="E16" s="9"/>
      <c r="F16" s="9"/>
      <c r="G16" s="9"/>
      <c r="I16" s="9"/>
      <c r="J16" s="9"/>
      <c r="K16" s="9"/>
    </row>
  </sheetData>
  <mergeCells count="8">
    <mergeCell ref="A1:K1"/>
    <mergeCell ref="A5:B5"/>
    <mergeCell ref="A2:K2"/>
    <mergeCell ref="E5:F5"/>
    <mergeCell ref="I5:J5"/>
    <mergeCell ref="E4:G4"/>
    <mergeCell ref="I4:K4"/>
    <mergeCell ref="A4:C4"/>
  </mergeCells>
  <phoneticPr fontId="1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showGridLines="0" workbookViewId="0"/>
  </sheetViews>
  <sheetFormatPr defaultRowHeight="16.5" x14ac:dyDescent="0.3"/>
  <cols>
    <col min="1" max="1" width="4" customWidth="1"/>
    <col min="2" max="3" width="12" customWidth="1"/>
    <col min="4" max="4" width="34" customWidth="1"/>
    <col min="5" max="5" width="10" customWidth="1"/>
    <col min="6" max="6" width="12" customWidth="1"/>
    <col min="7" max="7" width="10" customWidth="1"/>
    <col min="8" max="8" width="12" customWidth="1"/>
    <col min="9" max="9" width="16" customWidth="1"/>
    <col min="10" max="10" width="18" customWidth="1"/>
  </cols>
  <sheetData>
    <row r="1" spans="1:10" ht="27.95" customHeight="1" x14ac:dyDescent="0.3">
      <c r="A1" s="7" t="s">
        <v>128</v>
      </c>
      <c r="B1" s="5"/>
      <c r="C1" s="5"/>
      <c r="D1" s="5"/>
      <c r="E1" s="5"/>
      <c r="F1" s="5"/>
      <c r="G1" s="5"/>
      <c r="H1" s="5"/>
      <c r="I1" s="5"/>
      <c r="J1" s="5"/>
    </row>
    <row r="2" spans="1:10" ht="15.95" customHeight="1" x14ac:dyDescent="0.3">
      <c r="A2" s="6" t="s">
        <v>129</v>
      </c>
      <c r="B2" s="5"/>
      <c r="C2" s="5"/>
      <c r="D2" s="5"/>
      <c r="E2" s="5"/>
      <c r="F2" s="5"/>
      <c r="G2" s="5"/>
      <c r="H2" s="5"/>
      <c r="I2" s="5"/>
      <c r="J2" s="5"/>
    </row>
    <row r="3" spans="1:10" ht="26.1" customHeight="1" x14ac:dyDescent="0.3">
      <c r="A3" s="13" t="s">
        <v>130</v>
      </c>
      <c r="B3" s="13" t="s">
        <v>3</v>
      </c>
      <c r="C3" s="13" t="s">
        <v>88</v>
      </c>
      <c r="D3" s="13" t="s">
        <v>131</v>
      </c>
      <c r="E3" s="13" t="s">
        <v>33</v>
      </c>
      <c r="F3" s="13" t="s">
        <v>27</v>
      </c>
      <c r="G3" s="13" t="s">
        <v>59</v>
      </c>
      <c r="H3" s="13" t="s">
        <v>132</v>
      </c>
      <c r="I3" s="13" t="s">
        <v>133</v>
      </c>
      <c r="J3" s="13" t="s">
        <v>134</v>
      </c>
    </row>
    <row r="4" spans="1:10" x14ac:dyDescent="0.3">
      <c r="A4" s="23" t="str">
        <f t="shared" ref="A4:A23" si="0">IF(D4="","",ROW()-3)</f>
        <v/>
      </c>
      <c r="B4" s="9"/>
      <c r="C4" s="9"/>
      <c r="D4" s="9"/>
      <c r="E4" s="9"/>
      <c r="F4" s="9"/>
      <c r="G4" s="9"/>
      <c r="H4" s="9"/>
      <c r="I4" s="14" t="str">
        <f t="shared" ref="I4:I23" ca="1" si="1">IF(D4="","",IF(G4="완료","✅ 완료",IF(AND(ISNUMBER(F4),F4&lt;TODAY()),"⚠ 지연(기한초과)",IF(G4="","미기록",G4))))</f>
        <v/>
      </c>
      <c r="J4" s="9"/>
    </row>
    <row r="5" spans="1:10" x14ac:dyDescent="0.3">
      <c r="A5" s="23" t="str">
        <f t="shared" si="0"/>
        <v/>
      </c>
      <c r="B5" s="9"/>
      <c r="C5" s="9"/>
      <c r="D5" s="9"/>
      <c r="E5" s="9"/>
      <c r="F5" s="9"/>
      <c r="G5" s="9"/>
      <c r="H5" s="9"/>
      <c r="I5" s="14" t="str">
        <f t="shared" ca="1" si="1"/>
        <v/>
      </c>
      <c r="J5" s="9"/>
    </row>
    <row r="6" spans="1:10" x14ac:dyDescent="0.3">
      <c r="A6" s="23" t="str">
        <f t="shared" si="0"/>
        <v/>
      </c>
      <c r="B6" s="9"/>
      <c r="C6" s="9"/>
      <c r="D6" s="9"/>
      <c r="E6" s="9"/>
      <c r="F6" s="9"/>
      <c r="G6" s="9"/>
      <c r="H6" s="9"/>
      <c r="I6" s="14" t="str">
        <f t="shared" ca="1" si="1"/>
        <v/>
      </c>
      <c r="J6" s="9"/>
    </row>
    <row r="7" spans="1:10" x14ac:dyDescent="0.3">
      <c r="A7" s="23" t="str">
        <f t="shared" si="0"/>
        <v/>
      </c>
      <c r="B7" s="9"/>
      <c r="C7" s="9"/>
      <c r="D7" s="9"/>
      <c r="E7" s="9"/>
      <c r="F7" s="9"/>
      <c r="G7" s="9"/>
      <c r="H7" s="9"/>
      <c r="I7" s="14" t="str">
        <f t="shared" ca="1" si="1"/>
        <v/>
      </c>
      <c r="J7" s="9"/>
    </row>
    <row r="8" spans="1:10" x14ac:dyDescent="0.3">
      <c r="A8" s="23" t="str">
        <f t="shared" si="0"/>
        <v/>
      </c>
      <c r="B8" s="9"/>
      <c r="C8" s="9"/>
      <c r="D8" s="9"/>
      <c r="E8" s="9"/>
      <c r="F8" s="9"/>
      <c r="G8" s="9"/>
      <c r="H8" s="9"/>
      <c r="I8" s="14" t="str">
        <f t="shared" ca="1" si="1"/>
        <v/>
      </c>
      <c r="J8" s="9"/>
    </row>
    <row r="9" spans="1:10" x14ac:dyDescent="0.3">
      <c r="A9" s="23" t="str">
        <f t="shared" si="0"/>
        <v/>
      </c>
      <c r="B9" s="9"/>
      <c r="C9" s="9"/>
      <c r="D9" s="9"/>
      <c r="E9" s="9"/>
      <c r="F9" s="9"/>
      <c r="G9" s="9"/>
      <c r="H9" s="9"/>
      <c r="I9" s="14" t="str">
        <f t="shared" ca="1" si="1"/>
        <v/>
      </c>
      <c r="J9" s="9"/>
    </row>
    <row r="10" spans="1:10" x14ac:dyDescent="0.3">
      <c r="A10" s="23" t="str">
        <f t="shared" si="0"/>
        <v/>
      </c>
      <c r="B10" s="9"/>
      <c r="C10" s="9"/>
      <c r="D10" s="9"/>
      <c r="E10" s="9"/>
      <c r="F10" s="9"/>
      <c r="G10" s="9"/>
      <c r="H10" s="9"/>
      <c r="I10" s="14" t="str">
        <f t="shared" ca="1" si="1"/>
        <v/>
      </c>
      <c r="J10" s="9"/>
    </row>
    <row r="11" spans="1:10" x14ac:dyDescent="0.3">
      <c r="A11" s="23" t="str">
        <f t="shared" si="0"/>
        <v/>
      </c>
      <c r="B11" s="9"/>
      <c r="C11" s="9"/>
      <c r="D11" s="9"/>
      <c r="E11" s="9"/>
      <c r="F11" s="9"/>
      <c r="G11" s="9"/>
      <c r="H11" s="9"/>
      <c r="I11" s="14" t="str">
        <f t="shared" ca="1" si="1"/>
        <v/>
      </c>
      <c r="J11" s="9"/>
    </row>
    <row r="12" spans="1:10" x14ac:dyDescent="0.3">
      <c r="A12" s="23" t="str">
        <f t="shared" si="0"/>
        <v/>
      </c>
      <c r="B12" s="9"/>
      <c r="C12" s="9"/>
      <c r="D12" s="9"/>
      <c r="E12" s="9"/>
      <c r="F12" s="9"/>
      <c r="G12" s="9"/>
      <c r="H12" s="9"/>
      <c r="I12" s="14" t="str">
        <f t="shared" ca="1" si="1"/>
        <v/>
      </c>
      <c r="J12" s="9"/>
    </row>
    <row r="13" spans="1:10" x14ac:dyDescent="0.3">
      <c r="A13" s="23" t="str">
        <f t="shared" si="0"/>
        <v/>
      </c>
      <c r="B13" s="9"/>
      <c r="C13" s="9"/>
      <c r="D13" s="9"/>
      <c r="E13" s="9"/>
      <c r="F13" s="9"/>
      <c r="G13" s="9"/>
      <c r="H13" s="9"/>
      <c r="I13" s="14" t="str">
        <f t="shared" ca="1" si="1"/>
        <v/>
      </c>
      <c r="J13" s="9"/>
    </row>
    <row r="14" spans="1:10" x14ac:dyDescent="0.3">
      <c r="A14" s="23" t="str">
        <f t="shared" si="0"/>
        <v/>
      </c>
      <c r="B14" s="9"/>
      <c r="C14" s="9"/>
      <c r="D14" s="9"/>
      <c r="E14" s="9"/>
      <c r="F14" s="9"/>
      <c r="G14" s="9"/>
      <c r="H14" s="9"/>
      <c r="I14" s="14" t="str">
        <f t="shared" ca="1" si="1"/>
        <v/>
      </c>
      <c r="J14" s="9"/>
    </row>
    <row r="15" spans="1:10" x14ac:dyDescent="0.3">
      <c r="A15" s="23" t="str">
        <f t="shared" si="0"/>
        <v/>
      </c>
      <c r="B15" s="9"/>
      <c r="C15" s="9"/>
      <c r="D15" s="9"/>
      <c r="E15" s="9"/>
      <c r="F15" s="9"/>
      <c r="G15" s="9"/>
      <c r="H15" s="9"/>
      <c r="I15" s="14" t="str">
        <f t="shared" ca="1" si="1"/>
        <v/>
      </c>
      <c r="J15" s="9"/>
    </row>
    <row r="16" spans="1:10" x14ac:dyDescent="0.3">
      <c r="A16" s="23" t="str">
        <f t="shared" si="0"/>
        <v/>
      </c>
      <c r="B16" s="9"/>
      <c r="C16" s="9"/>
      <c r="D16" s="9"/>
      <c r="E16" s="9"/>
      <c r="F16" s="9"/>
      <c r="G16" s="9"/>
      <c r="H16" s="9"/>
      <c r="I16" s="14" t="str">
        <f t="shared" ca="1" si="1"/>
        <v/>
      </c>
      <c r="J16" s="9"/>
    </row>
    <row r="17" spans="1:10" x14ac:dyDescent="0.3">
      <c r="A17" s="23" t="str">
        <f t="shared" si="0"/>
        <v/>
      </c>
      <c r="B17" s="9"/>
      <c r="C17" s="9"/>
      <c r="D17" s="9"/>
      <c r="E17" s="9"/>
      <c r="F17" s="9"/>
      <c r="G17" s="9"/>
      <c r="H17" s="9"/>
      <c r="I17" s="14" t="str">
        <f t="shared" ca="1" si="1"/>
        <v/>
      </c>
      <c r="J17" s="9"/>
    </row>
    <row r="18" spans="1:10" x14ac:dyDescent="0.3">
      <c r="A18" s="23" t="str">
        <f t="shared" si="0"/>
        <v/>
      </c>
      <c r="B18" s="9"/>
      <c r="C18" s="9"/>
      <c r="D18" s="9"/>
      <c r="E18" s="9"/>
      <c r="F18" s="9"/>
      <c r="G18" s="9"/>
      <c r="H18" s="9"/>
      <c r="I18" s="14" t="str">
        <f t="shared" ca="1" si="1"/>
        <v/>
      </c>
      <c r="J18" s="9"/>
    </row>
    <row r="19" spans="1:10" x14ac:dyDescent="0.3">
      <c r="A19" s="23" t="str">
        <f t="shared" si="0"/>
        <v/>
      </c>
      <c r="B19" s="9"/>
      <c r="C19" s="9"/>
      <c r="D19" s="9"/>
      <c r="E19" s="9"/>
      <c r="F19" s="9"/>
      <c r="G19" s="9"/>
      <c r="H19" s="9"/>
      <c r="I19" s="14" t="str">
        <f t="shared" ca="1" si="1"/>
        <v/>
      </c>
      <c r="J19" s="9"/>
    </row>
    <row r="20" spans="1:10" x14ac:dyDescent="0.3">
      <c r="A20" s="23" t="str">
        <f t="shared" si="0"/>
        <v/>
      </c>
      <c r="B20" s="9"/>
      <c r="C20" s="9"/>
      <c r="D20" s="9"/>
      <c r="E20" s="9"/>
      <c r="F20" s="9"/>
      <c r="G20" s="9"/>
      <c r="H20" s="9"/>
      <c r="I20" s="14" t="str">
        <f t="shared" ca="1" si="1"/>
        <v/>
      </c>
      <c r="J20" s="9"/>
    </row>
    <row r="21" spans="1:10" x14ac:dyDescent="0.3">
      <c r="A21" s="23" t="str">
        <f t="shared" si="0"/>
        <v/>
      </c>
      <c r="B21" s="9"/>
      <c r="C21" s="9"/>
      <c r="D21" s="9"/>
      <c r="E21" s="9"/>
      <c r="F21" s="9"/>
      <c r="G21" s="9"/>
      <c r="H21" s="9"/>
      <c r="I21" s="14" t="str">
        <f t="shared" ca="1" si="1"/>
        <v/>
      </c>
      <c r="J21" s="9"/>
    </row>
    <row r="22" spans="1:10" x14ac:dyDescent="0.3">
      <c r="A22" s="23" t="str">
        <f t="shared" si="0"/>
        <v/>
      </c>
      <c r="B22" s="9"/>
      <c r="C22" s="9"/>
      <c r="D22" s="9"/>
      <c r="E22" s="9"/>
      <c r="F22" s="9"/>
      <c r="G22" s="9"/>
      <c r="H22" s="9"/>
      <c r="I22" s="14" t="str">
        <f t="shared" ca="1" si="1"/>
        <v/>
      </c>
      <c r="J22" s="9"/>
    </row>
    <row r="23" spans="1:10" x14ac:dyDescent="0.3">
      <c r="A23" s="23" t="str">
        <f t="shared" si="0"/>
        <v/>
      </c>
      <c r="B23" s="9"/>
      <c r="C23" s="9"/>
      <c r="D23" s="9"/>
      <c r="E23" s="9"/>
      <c r="F23" s="9"/>
      <c r="G23" s="9"/>
      <c r="H23" s="9"/>
      <c r="I23" s="14" t="str">
        <f t="shared" ca="1" si="1"/>
        <v/>
      </c>
      <c r="J23" s="9"/>
    </row>
  </sheetData>
  <mergeCells count="2">
    <mergeCell ref="A1:J1"/>
    <mergeCell ref="A2:J2"/>
  </mergeCells>
  <phoneticPr fontId="15" type="noConversion"/>
  <dataValidations count="2">
    <dataValidation type="list" allowBlank="1" sqref="C4 C5 C6 C7 C8 C9 C10 C11 C12 C13 C14 C15 C16 C17 C18 C19 C20 C21 C22 C23" xr:uid="{00000000-0002-0000-0500-000000000000}">
      <formula1>"매출,릴레잇,KPI,기타"</formula1>
    </dataValidation>
    <dataValidation type="list" allowBlank="1" sqref="G4 G5 G6 G7 G8 G9 G10 G11 G12 G13 G14 G15 G16 G17 G18 G19 G20 G21 G22 G23" xr:uid="{00000000-0002-0000-0500-000001000000}">
      <formula1>"진행중,완료,지연,보류"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5"/>
  <sheetViews>
    <sheetView showGridLines="0" workbookViewId="0"/>
  </sheetViews>
  <sheetFormatPr defaultRowHeight="16.5" x14ac:dyDescent="0.3"/>
  <cols>
    <col min="1" max="1" width="26" customWidth="1"/>
    <col min="2" max="2" width="80" customWidth="1"/>
  </cols>
  <sheetData>
    <row r="1" spans="1:2" ht="27.95" customHeight="1" x14ac:dyDescent="0.3">
      <c r="A1" s="7" t="s">
        <v>135</v>
      </c>
      <c r="B1" s="5"/>
    </row>
    <row r="2" spans="1:2" ht="15.95" customHeight="1" x14ac:dyDescent="0.3">
      <c r="A2" s="6" t="s">
        <v>136</v>
      </c>
      <c r="B2" s="5"/>
    </row>
    <row r="3" spans="1:2" ht="21.95" customHeight="1" x14ac:dyDescent="0.3">
      <c r="A3" s="11" t="s">
        <v>137</v>
      </c>
      <c r="B3" s="5"/>
    </row>
    <row r="4" spans="1:2" ht="30" customHeight="1" x14ac:dyDescent="0.3">
      <c r="A4" s="1" t="s">
        <v>138</v>
      </c>
      <c r="B4" s="3" t="s">
        <v>139</v>
      </c>
    </row>
    <row r="5" spans="1:2" ht="30" customHeight="1" x14ac:dyDescent="0.3">
      <c r="A5" s="1" t="s">
        <v>140</v>
      </c>
      <c r="B5" s="3" t="s">
        <v>141</v>
      </c>
    </row>
    <row r="6" spans="1:2" ht="30" customHeight="1" x14ac:dyDescent="0.3">
      <c r="A6" s="1" t="s">
        <v>142</v>
      </c>
      <c r="B6" s="3" t="s">
        <v>143</v>
      </c>
    </row>
    <row r="7" spans="1:2" ht="30" customHeight="1" x14ac:dyDescent="0.3">
      <c r="A7" s="1" t="s">
        <v>144</v>
      </c>
      <c r="B7" s="3" t="s">
        <v>145</v>
      </c>
    </row>
    <row r="9" spans="1:2" ht="21.95" customHeight="1" x14ac:dyDescent="0.3">
      <c r="A9" s="11" t="s">
        <v>146</v>
      </c>
      <c r="B9" s="5"/>
    </row>
    <row r="10" spans="1:2" x14ac:dyDescent="0.3">
      <c r="A10" s="24" t="s">
        <v>147</v>
      </c>
      <c r="B10" s="2" t="s">
        <v>148</v>
      </c>
    </row>
    <row r="11" spans="1:2" x14ac:dyDescent="0.3">
      <c r="A11" s="25" t="s">
        <v>149</v>
      </c>
      <c r="B11" s="2" t="s">
        <v>150</v>
      </c>
    </row>
    <row r="13" spans="1:2" ht="21.95" customHeight="1" x14ac:dyDescent="0.3">
      <c r="A13" s="11" t="s">
        <v>151</v>
      </c>
      <c r="B13" s="5"/>
    </row>
    <row r="14" spans="1:2" ht="30" customHeight="1" x14ac:dyDescent="0.3">
      <c r="A14" s="1" t="s">
        <v>96</v>
      </c>
      <c r="B14" s="3" t="s">
        <v>152</v>
      </c>
    </row>
    <row r="15" spans="1:2" ht="30" customHeight="1" x14ac:dyDescent="0.3">
      <c r="A15" s="1" t="s">
        <v>153</v>
      </c>
      <c r="B15" s="3" t="s">
        <v>154</v>
      </c>
    </row>
    <row r="16" spans="1:2" ht="30" customHeight="1" x14ac:dyDescent="0.3">
      <c r="A16" s="1" t="s">
        <v>155</v>
      </c>
      <c r="B16" s="3" t="s">
        <v>156</v>
      </c>
    </row>
    <row r="17" spans="1:2" ht="30" customHeight="1" x14ac:dyDescent="0.3">
      <c r="A17" s="1" t="s">
        <v>157</v>
      </c>
      <c r="B17" s="3" t="s">
        <v>158</v>
      </c>
    </row>
    <row r="19" spans="1:2" ht="21.95" customHeight="1" x14ac:dyDescent="0.3">
      <c r="A19" s="11" t="s">
        <v>159</v>
      </c>
      <c r="B19" s="5"/>
    </row>
    <row r="20" spans="1:2" ht="30" customHeight="1" x14ac:dyDescent="0.3">
      <c r="A20" s="1" t="s">
        <v>160</v>
      </c>
      <c r="B20" s="3" t="s">
        <v>161</v>
      </c>
    </row>
    <row r="21" spans="1:2" ht="30" customHeight="1" x14ac:dyDescent="0.3">
      <c r="A21" s="1" t="s">
        <v>162</v>
      </c>
      <c r="B21" s="3" t="s">
        <v>163</v>
      </c>
    </row>
    <row r="22" spans="1:2" ht="30" customHeight="1" x14ac:dyDescent="0.3">
      <c r="A22" s="1" t="s">
        <v>164</v>
      </c>
      <c r="B22" s="3" t="s">
        <v>165</v>
      </c>
    </row>
    <row r="23" spans="1:2" ht="30" customHeight="1" x14ac:dyDescent="0.3">
      <c r="A23" s="1" t="s">
        <v>166</v>
      </c>
      <c r="B23" s="3" t="s">
        <v>167</v>
      </c>
    </row>
    <row r="25" spans="1:2" ht="21.95" customHeight="1" x14ac:dyDescent="0.3">
      <c r="A25" s="11" t="s">
        <v>168</v>
      </c>
      <c r="B25" s="5"/>
    </row>
    <row r="26" spans="1:2" ht="30" customHeight="1" x14ac:dyDescent="0.3">
      <c r="A26" s="1" t="s">
        <v>169</v>
      </c>
      <c r="B26" s="3" t="s">
        <v>170</v>
      </c>
    </row>
    <row r="27" spans="1:2" ht="30" customHeight="1" x14ac:dyDescent="0.3">
      <c r="A27" s="1" t="s">
        <v>171</v>
      </c>
      <c r="B27" s="3" t="s">
        <v>172</v>
      </c>
    </row>
    <row r="28" spans="1:2" ht="30" customHeight="1" x14ac:dyDescent="0.3">
      <c r="A28" s="1" t="s">
        <v>173</v>
      </c>
      <c r="B28" s="3" t="s">
        <v>174</v>
      </c>
    </row>
    <row r="30" spans="1:2" ht="21.95" customHeight="1" x14ac:dyDescent="0.3">
      <c r="A30" s="11" t="s">
        <v>175</v>
      </c>
      <c r="B30" s="5"/>
    </row>
    <row r="31" spans="1:2" ht="30" customHeight="1" x14ac:dyDescent="0.3">
      <c r="A31" s="1" t="s">
        <v>176</v>
      </c>
      <c r="B31" s="3" t="s">
        <v>177</v>
      </c>
    </row>
    <row r="32" spans="1:2" ht="30" customHeight="1" x14ac:dyDescent="0.3">
      <c r="A32" s="1" t="s">
        <v>178</v>
      </c>
      <c r="B32" s="3" t="s">
        <v>179</v>
      </c>
    </row>
    <row r="34" spans="1:2" ht="21.95" customHeight="1" x14ac:dyDescent="0.3">
      <c r="A34" s="11" t="s">
        <v>180</v>
      </c>
      <c r="B34" s="5"/>
    </row>
    <row r="35" spans="1:2" ht="30" customHeight="1" x14ac:dyDescent="0.3">
      <c r="A35" s="1" t="s">
        <v>181</v>
      </c>
      <c r="B35" s="3" t="s">
        <v>182</v>
      </c>
    </row>
  </sheetData>
  <mergeCells count="9">
    <mergeCell ref="A1:B1"/>
    <mergeCell ref="A9:B9"/>
    <mergeCell ref="A3:B3"/>
    <mergeCell ref="A34:B34"/>
    <mergeCell ref="A30:B30"/>
    <mergeCell ref="A2:B2"/>
    <mergeCell ref="A25:B25"/>
    <mergeCell ref="A19:B19"/>
    <mergeCell ref="A13:B13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회의록_작성</vt:lpstr>
      <vt:lpstr>매출현황</vt:lpstr>
      <vt:lpstr>릴레잇현황</vt:lpstr>
      <vt:lpstr>KPI_통합</vt:lpstr>
      <vt:lpstr>영업회의발표</vt:lpstr>
      <vt:lpstr>액션아이템관리</vt:lpstr>
      <vt:lpstr>작성기준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2026-06-16T09:43:47Z</dcterms:created>
  <dcterms:modified xsi:type="dcterms:W3CDTF">2026-06-16T09:43:53Z</dcterms:modified>
</cp:coreProperties>
</file>